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ff6a15977b1c30d0/Desktop/"/>
    </mc:Choice>
  </mc:AlternateContent>
  <xr:revisionPtr revIDLastSave="2" documentId="8_{2A93B037-2741-4C99-8BA2-DE973C09C4D4}" xr6:coauthVersionLast="47" xr6:coauthVersionMax="47" xr10:uidLastSave="{69E7992F-24A2-4811-884A-4C87EC263381}"/>
  <bookViews>
    <workbookView xWindow="-108" yWindow="-108" windowWidth="23256" windowHeight="12456" firstSheet="5" activeTab="6" xr2:uid="{4249099E-6163-418E-8758-9E6777E34A96}"/>
  </bookViews>
  <sheets>
    <sheet name="Detail1" sheetId="8" r:id="rId1"/>
    <sheet name="Pivot Table 1 — Monthly Revenue" sheetId="3" r:id="rId2"/>
    <sheet name="Pivot Table 2 — Revenue by Prod" sheetId="4" r:id="rId3"/>
    <sheet name="Pivot Table 3 — Revenue by Regi" sheetId="5" r:id="rId4"/>
    <sheet name="Pivot Table 4 — Top Salespeople" sheetId="6" r:id="rId5"/>
    <sheet name="Dashboard" sheetId="7" r:id="rId6"/>
    <sheet name="Raw_Data" sheetId="1" r:id="rId7"/>
  </sheets>
  <definedNames>
    <definedName name="Slicer_Month">#N/A</definedName>
    <definedName name="Slicer_Product">#N/A</definedName>
    <definedName name="Slicer_Region">#N/A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7" l="1"/>
  <c r="G4" i="7"/>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C4" i="7"/>
</calcChain>
</file>

<file path=xl/sharedStrings.xml><?xml version="1.0" encoding="utf-8"?>
<sst xmlns="http://schemas.openxmlformats.org/spreadsheetml/2006/main" count="5478" uniqueCount="64">
  <si>
    <t>Order Date</t>
  </si>
  <si>
    <t>Region</t>
  </si>
  <si>
    <t>Product</t>
  </si>
  <si>
    <t>Category</t>
  </si>
  <si>
    <t>Salesperson</t>
  </si>
  <si>
    <t>Quantity</t>
  </si>
  <si>
    <t>Unit Price</t>
  </si>
  <si>
    <t>Revenue</t>
  </si>
  <si>
    <t>West</t>
  </si>
  <si>
    <t>Mouse</t>
  </si>
  <si>
    <t>Accessories</t>
  </si>
  <si>
    <t>Casey</t>
  </si>
  <si>
    <t>North</t>
  </si>
  <si>
    <t>Jordan</t>
  </si>
  <si>
    <t>South</t>
  </si>
  <si>
    <t>Desk</t>
  </si>
  <si>
    <t>Furniture</t>
  </si>
  <si>
    <t>Drew</t>
  </si>
  <si>
    <t>Laptop</t>
  </si>
  <si>
    <t>Electronics</t>
  </si>
  <si>
    <t>East</t>
  </si>
  <si>
    <t>Keyboard</t>
  </si>
  <si>
    <t>Headset</t>
  </si>
  <si>
    <t>Chris</t>
  </si>
  <si>
    <t>Monitor</t>
  </si>
  <si>
    <t>Desk Chair</t>
  </si>
  <si>
    <t>Taylor</t>
  </si>
  <si>
    <t>Alex</t>
  </si>
  <si>
    <t>Riley</t>
  </si>
  <si>
    <t>Printer</t>
  </si>
  <si>
    <t>Office Equipment</t>
  </si>
  <si>
    <t>Morgan</t>
  </si>
  <si>
    <t>Month</t>
  </si>
  <si>
    <t>Row Labels</t>
  </si>
  <si>
    <t>Grand Total</t>
  </si>
  <si>
    <t>Sum of Revenue</t>
  </si>
  <si>
    <t>Apr-2024</t>
  </si>
  <si>
    <t>Apr-2025</t>
  </si>
  <si>
    <t>Aug-2024</t>
  </si>
  <si>
    <t>Aug-2025</t>
  </si>
  <si>
    <t>Dec-2024</t>
  </si>
  <si>
    <t>Dec-2025</t>
  </si>
  <si>
    <t>Feb-2024</t>
  </si>
  <si>
    <t>Feb-2025</t>
  </si>
  <si>
    <t>Jan-2024</t>
  </si>
  <si>
    <t>Jan-2025</t>
  </si>
  <si>
    <t>Jul-2024</t>
  </si>
  <si>
    <t>Jul-2025</t>
  </si>
  <si>
    <t>Jun-2024</t>
  </si>
  <si>
    <t>Jun-2025</t>
  </si>
  <si>
    <t>Mar-2024</t>
  </si>
  <si>
    <t>Mar-2025</t>
  </si>
  <si>
    <t>May-2024</t>
  </si>
  <si>
    <t>Nov-2024</t>
  </si>
  <si>
    <t>Nov-2025</t>
  </si>
  <si>
    <t>Oct-2024</t>
  </si>
  <si>
    <t>Oct-2025</t>
  </si>
  <si>
    <t>Sep-2024</t>
  </si>
  <si>
    <t>Sep-2025</t>
  </si>
  <si>
    <t>Total Revenue</t>
  </si>
  <si>
    <t>Total Quantity Sold</t>
  </si>
  <si>
    <t>Average Order Value</t>
  </si>
  <si>
    <t>May-2025</t>
  </si>
  <si>
    <t>Details for 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</si>
</sst>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2"/>
      <name val="Aptos Narrow"/>
      <family val="2"/>
      <scheme val="minor"/>
    </font>
    <font>
      <b/>
      <sz val="14"/>
      <color theme="2"/>
      <name val="Aptos Narrow"/>
      <family val="2"/>
      <scheme val="minor"/>
    </font>
    <font>
      <b/>
      <sz val="26"/>
      <color theme="2"/>
      <name val="Aptos Narrow"/>
      <family val="2"/>
      <scheme val="minor"/>
    </font>
    <font>
      <b/>
      <sz val="11"/>
      <color them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them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4" borderId="0" xfId="0" applyFont="1" applyFill="1"/>
    <xf numFmtId="0" fontId="0" fillId="34" borderId="0" xfId="0" applyFill="1"/>
    <xf numFmtId="0" fontId="18" fillId="33" borderId="10" xfId="0" applyFont="1" applyFill="1" applyBorder="1"/>
    <xf numFmtId="0" fontId="18" fillId="33" borderId="11" xfId="0" applyFont="1" applyFill="1" applyBorder="1"/>
    <xf numFmtId="0" fontId="18" fillId="33" borderId="12" xfId="0" applyFont="1" applyFill="1" applyBorder="1"/>
    <xf numFmtId="0" fontId="18" fillId="33" borderId="13" xfId="0" applyFont="1" applyFill="1" applyBorder="1"/>
    <xf numFmtId="0" fontId="19" fillId="33" borderId="0" xfId="0" applyFont="1" applyFill="1"/>
    <xf numFmtId="0" fontId="18" fillId="33" borderId="14" xfId="0" applyFont="1" applyFill="1" applyBorder="1"/>
    <xf numFmtId="164" fontId="20" fillId="33" borderId="0" xfId="0" applyNumberFormat="1" applyFont="1" applyFill="1"/>
    <xf numFmtId="0" fontId="18" fillId="33" borderId="0" xfId="0" applyFont="1" applyFill="1"/>
    <xf numFmtId="0" fontId="18" fillId="33" borderId="15" xfId="0" applyFont="1" applyFill="1" applyBorder="1"/>
    <xf numFmtId="0" fontId="18" fillId="33" borderId="16" xfId="0" applyFont="1" applyFill="1" applyBorder="1"/>
    <xf numFmtId="0" fontId="18" fillId="33" borderId="17" xfId="0" applyFont="1" applyFill="1" applyBorder="1"/>
    <xf numFmtId="0" fontId="16" fillId="0" borderId="0" xfId="0" applyFont="1"/>
    <xf numFmtId="0" fontId="21" fillId="33" borderId="10" xfId="0" applyFont="1" applyFill="1" applyBorder="1"/>
    <xf numFmtId="0" fontId="21" fillId="33" borderId="11" xfId="0" applyFont="1" applyFill="1" applyBorder="1"/>
    <xf numFmtId="0" fontId="21" fillId="33" borderId="13" xfId="0" applyFont="1" applyFill="1" applyBorder="1"/>
    <xf numFmtId="44" fontId="20" fillId="33" borderId="0" xfId="0" applyNumberFormat="1" applyFont="1" applyFill="1" applyAlignment="1">
      <alignment horizontal="center"/>
    </xf>
    <xf numFmtId="44" fontId="20"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[sales-dashboard-excel.xlsx]Pivot Table 1 — Monthly Revenue!PivotTable1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Monthly Revenue Trend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 — Monthly Revenue'!$B$3</c:f>
              <c:strCache>
                <c:ptCount val="1"/>
                <c:pt idx="0">
                  <c:v>Total</c:v>
                </c:pt>
              </c:strCache>
            </c:strRef>
          </c:tx>
          <c:spPr>
            <a:ln w="28575" cap="rnd">
              <a:solidFill>
                <a:schemeClr val="accent1"/>
              </a:solidFill>
              <a:round/>
            </a:ln>
            <a:effectLst/>
          </c:spPr>
          <c:marker>
            <c:symbol val="none"/>
          </c:marker>
          <c:cat>
            <c:strRef>
              <c:f>'Pivot Table 1 — Monthly Revenue'!$A$4:$A$28</c:f>
              <c:strCache>
                <c:ptCount val="24"/>
                <c:pt idx="0">
                  <c:v>Apr-2024</c:v>
                </c:pt>
                <c:pt idx="1">
                  <c:v>Apr-2025</c:v>
                </c:pt>
                <c:pt idx="2">
                  <c:v>Aug-2024</c:v>
                </c:pt>
                <c:pt idx="3">
                  <c:v>Aug-2025</c:v>
                </c:pt>
                <c:pt idx="4">
                  <c:v>Dec-2024</c:v>
                </c:pt>
                <c:pt idx="5">
                  <c:v>Dec-2025</c:v>
                </c:pt>
                <c:pt idx="6">
                  <c:v>Feb-2024</c:v>
                </c:pt>
                <c:pt idx="7">
                  <c:v>Feb-2025</c:v>
                </c:pt>
                <c:pt idx="8">
                  <c:v>Jan-2024</c:v>
                </c:pt>
                <c:pt idx="9">
                  <c:v>Jan-2025</c:v>
                </c:pt>
                <c:pt idx="10">
                  <c:v>Jul-2024</c:v>
                </c:pt>
                <c:pt idx="11">
                  <c:v>Jul-2025</c:v>
                </c:pt>
                <c:pt idx="12">
                  <c:v>Jun-2024</c:v>
                </c:pt>
                <c:pt idx="13">
                  <c:v>Jun-2025</c:v>
                </c:pt>
                <c:pt idx="14">
                  <c:v>Mar-2024</c:v>
                </c:pt>
                <c:pt idx="15">
                  <c:v>Mar-2025</c:v>
                </c:pt>
                <c:pt idx="16">
                  <c:v>May-2024</c:v>
                </c:pt>
                <c:pt idx="17">
                  <c:v>May-2025</c:v>
                </c:pt>
                <c:pt idx="18">
                  <c:v>Nov-2024</c:v>
                </c:pt>
                <c:pt idx="19">
                  <c:v>Nov-2025</c:v>
                </c:pt>
                <c:pt idx="20">
                  <c:v>Oct-2024</c:v>
                </c:pt>
                <c:pt idx="21">
                  <c:v>Oct-2025</c:v>
                </c:pt>
                <c:pt idx="22">
                  <c:v>Sep-2024</c:v>
                </c:pt>
                <c:pt idx="23">
                  <c:v>Sep-2025</c:v>
                </c:pt>
              </c:strCache>
            </c:strRef>
          </c:cat>
          <c:val>
            <c:numRef>
              <c:f>'Pivot Table 1 — Monthly Revenue'!$B$4:$B$28</c:f>
              <c:numCache>
                <c:formatCode>General</c:formatCode>
                <c:ptCount val="24"/>
                <c:pt idx="0">
                  <c:v>40957.230000000003</c:v>
                </c:pt>
                <c:pt idx="1">
                  <c:v>26118.760000000006</c:v>
                </c:pt>
                <c:pt idx="2">
                  <c:v>52090.349999999991</c:v>
                </c:pt>
                <c:pt idx="3">
                  <c:v>22115.21</c:v>
                </c:pt>
                <c:pt idx="4">
                  <c:v>14516.900000000001</c:v>
                </c:pt>
                <c:pt idx="5">
                  <c:v>23643.360000000001</c:v>
                </c:pt>
                <c:pt idx="6">
                  <c:v>23206.73</c:v>
                </c:pt>
                <c:pt idx="7">
                  <c:v>32242.34</c:v>
                </c:pt>
                <c:pt idx="8">
                  <c:v>18474.669999999995</c:v>
                </c:pt>
                <c:pt idx="9">
                  <c:v>33486.43</c:v>
                </c:pt>
                <c:pt idx="10">
                  <c:v>16018.7</c:v>
                </c:pt>
                <c:pt idx="11">
                  <c:v>40123.020000000004</c:v>
                </c:pt>
                <c:pt idx="12">
                  <c:v>33934.720000000008</c:v>
                </c:pt>
                <c:pt idx="13">
                  <c:v>37498.370000000003</c:v>
                </c:pt>
                <c:pt idx="14">
                  <c:v>42970.060000000005</c:v>
                </c:pt>
                <c:pt idx="15">
                  <c:v>31358.600000000002</c:v>
                </c:pt>
                <c:pt idx="16">
                  <c:v>17783.82</c:v>
                </c:pt>
                <c:pt idx="17">
                  <c:v>15700.530000000002</c:v>
                </c:pt>
                <c:pt idx="18">
                  <c:v>27244.619999999995</c:v>
                </c:pt>
                <c:pt idx="19">
                  <c:v>41581.440000000002</c:v>
                </c:pt>
                <c:pt idx="20">
                  <c:v>22263.54</c:v>
                </c:pt>
                <c:pt idx="21">
                  <c:v>37164.220000000008</c:v>
                </c:pt>
                <c:pt idx="22">
                  <c:v>41037.24</c:v>
                </c:pt>
                <c:pt idx="23">
                  <c:v>38993.01999999999</c:v>
                </c:pt>
              </c:numCache>
            </c:numRef>
          </c:val>
          <c:smooth val="0"/>
          <c:extLst>
            <c:ext xmlns:c16="http://schemas.microsoft.com/office/drawing/2014/chart" uri="{C3380CC4-5D6E-409C-BE32-E72D297353CC}">
              <c16:uniqueId val="{00000000-E07A-44F0-AAF3-7732361518AC}"/>
            </c:ext>
          </c:extLst>
        </c:ser>
        <c:dLbls>
          <c:showLegendKey val="0"/>
          <c:showVal val="0"/>
          <c:showCatName val="0"/>
          <c:showSerName val="0"/>
          <c:showPercent val="0"/>
          <c:showBubbleSize val="0"/>
        </c:dLbls>
        <c:smooth val="0"/>
        <c:axId val="2119087760"/>
        <c:axId val="2119092080"/>
      </c:lineChart>
      <c:catAx>
        <c:axId val="211908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092080"/>
        <c:crosses val="autoZero"/>
        <c:auto val="1"/>
        <c:lblAlgn val="ctr"/>
        <c:lblOffset val="100"/>
        <c:noMultiLvlLbl val="0"/>
      </c:catAx>
      <c:valAx>
        <c:axId val="21190920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0877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[sales-dashboard-excel.xlsx]Pivot Table 2 — Revenue by Prod!PivotTable2</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baseline="0">
                <a:solidFill>
                  <a:sysClr val="windowText" lastClr="000000"/>
                </a:solidFill>
              </a:rPr>
              <a:t>Top Revenue Generating Products</a:t>
            </a:r>
            <a:endParaRPr lang="en-US" sz="1200" b="1">
              <a:solidFill>
                <a:sysClr val="windowText" lastClr="000000"/>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solidFill>
                <a:srgbClr val="0070C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 — Revenue by Prod'!$B$3</c:f>
              <c:strCache>
                <c:ptCount val="1"/>
                <c:pt idx="0">
                  <c:v>Total</c:v>
                </c:pt>
              </c:strCache>
            </c:strRef>
          </c:tx>
          <c:spPr>
            <a:solidFill>
              <a:schemeClr val="accent1"/>
            </a:solidFill>
            <a:ln>
              <a:noFill/>
            </a:ln>
            <a:effectLst/>
          </c:spPr>
          <c:invertIfNegative val="0"/>
          <c:cat>
            <c:strRef>
              <c:f>'Pivot Table 2 — Revenue by Prod'!$A$4:$A$12</c:f>
              <c:strCache>
                <c:ptCount val="8"/>
                <c:pt idx="0">
                  <c:v>Laptop</c:v>
                </c:pt>
                <c:pt idx="1">
                  <c:v>Desk</c:v>
                </c:pt>
                <c:pt idx="2">
                  <c:v>Printer</c:v>
                </c:pt>
                <c:pt idx="3">
                  <c:v>Monitor</c:v>
                </c:pt>
                <c:pt idx="4">
                  <c:v>Desk Chair</c:v>
                </c:pt>
                <c:pt idx="5">
                  <c:v>Headset</c:v>
                </c:pt>
                <c:pt idx="6">
                  <c:v>Keyboard</c:v>
                </c:pt>
                <c:pt idx="7">
                  <c:v>Mouse</c:v>
                </c:pt>
              </c:strCache>
            </c:strRef>
          </c:cat>
          <c:val>
            <c:numRef>
              <c:f>'Pivot Table 2 — Revenue by Prod'!$B$4:$B$12</c:f>
              <c:numCache>
                <c:formatCode>General</c:formatCode>
                <c:ptCount val="8"/>
                <c:pt idx="0">
                  <c:v>256765.24000000005</c:v>
                </c:pt>
                <c:pt idx="1">
                  <c:v>145269.52000000002</c:v>
                </c:pt>
                <c:pt idx="2">
                  <c:v>109225.04000000004</c:v>
                </c:pt>
                <c:pt idx="3">
                  <c:v>100309.51</c:v>
                </c:pt>
                <c:pt idx="4">
                  <c:v>70131.060000000012</c:v>
                </c:pt>
                <c:pt idx="5">
                  <c:v>23339.079999999998</c:v>
                </c:pt>
                <c:pt idx="6">
                  <c:v>15347.800000000001</c:v>
                </c:pt>
                <c:pt idx="7">
                  <c:v>10136.629999999997</c:v>
                </c:pt>
              </c:numCache>
            </c:numRef>
          </c:val>
          <c:extLst>
            <c:ext xmlns:c16="http://schemas.microsoft.com/office/drawing/2014/chart" uri="{C3380CC4-5D6E-409C-BE32-E72D297353CC}">
              <c16:uniqueId val="{00000000-F25E-42BA-8114-DD30C472B0E3}"/>
            </c:ext>
          </c:extLst>
        </c:ser>
        <c:dLbls>
          <c:showLegendKey val="0"/>
          <c:showVal val="0"/>
          <c:showCatName val="0"/>
          <c:showSerName val="0"/>
          <c:showPercent val="0"/>
          <c:showBubbleSize val="0"/>
        </c:dLbls>
        <c:gapWidth val="219"/>
        <c:overlap val="-27"/>
        <c:axId val="2119063280"/>
        <c:axId val="2119064240"/>
      </c:barChart>
      <c:catAx>
        <c:axId val="211906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064240"/>
        <c:crosses val="autoZero"/>
        <c:auto val="1"/>
        <c:lblAlgn val="ctr"/>
        <c:lblOffset val="100"/>
        <c:noMultiLvlLbl val="0"/>
      </c:catAx>
      <c:valAx>
        <c:axId val="211906424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06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[sales-dashboard-excel.xlsx]Pivot Table 3 — Revenue by Regi!PivotTable3</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ysClr val="windowText" lastClr="000000"/>
                </a:solidFill>
              </a:rPr>
              <a:t>Regional Sales Performance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solidFill>
                <a:srgbClr val="00206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 — Revenue by Regi'!$B$3</c:f>
              <c:strCache>
                <c:ptCount val="1"/>
                <c:pt idx="0">
                  <c:v>Total</c:v>
                </c:pt>
              </c:strCache>
            </c:strRef>
          </c:tx>
          <c:spPr>
            <a:solidFill>
              <a:schemeClr val="accent1"/>
            </a:solidFill>
            <a:ln>
              <a:noFill/>
            </a:ln>
            <a:effectLst/>
          </c:spPr>
          <c:invertIfNegative val="0"/>
          <c:cat>
            <c:strRef>
              <c:f>'Pivot Table 3 — Revenue by Regi'!$A$4:$A$8</c:f>
              <c:strCache>
                <c:ptCount val="4"/>
                <c:pt idx="0">
                  <c:v>North</c:v>
                </c:pt>
                <c:pt idx="1">
                  <c:v>South</c:v>
                </c:pt>
                <c:pt idx="2">
                  <c:v>West</c:v>
                </c:pt>
                <c:pt idx="3">
                  <c:v>East</c:v>
                </c:pt>
              </c:strCache>
            </c:strRef>
          </c:cat>
          <c:val>
            <c:numRef>
              <c:f>'Pivot Table 3 — Revenue by Regi'!$B$4:$B$8</c:f>
              <c:numCache>
                <c:formatCode>General</c:formatCode>
                <c:ptCount val="4"/>
                <c:pt idx="0">
                  <c:v>198143.94999999998</c:v>
                </c:pt>
                <c:pt idx="1">
                  <c:v>196222.6099999999</c:v>
                </c:pt>
                <c:pt idx="2">
                  <c:v>188769.6699999999</c:v>
                </c:pt>
                <c:pt idx="3">
                  <c:v>147387.64999999997</c:v>
                </c:pt>
              </c:numCache>
            </c:numRef>
          </c:val>
          <c:extLst>
            <c:ext xmlns:c16="http://schemas.microsoft.com/office/drawing/2014/chart" uri="{C3380CC4-5D6E-409C-BE32-E72D297353CC}">
              <c16:uniqueId val="{00000000-5439-4C16-8A0E-8AF0B60C5B69}"/>
            </c:ext>
          </c:extLst>
        </c:ser>
        <c:dLbls>
          <c:showLegendKey val="0"/>
          <c:showVal val="0"/>
          <c:showCatName val="0"/>
          <c:showSerName val="0"/>
          <c:showPercent val="0"/>
          <c:showBubbleSize val="0"/>
        </c:dLbls>
        <c:gapWidth val="150"/>
        <c:axId val="2119082000"/>
        <c:axId val="2119072880"/>
      </c:barChart>
      <c:catAx>
        <c:axId val="2119082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072880"/>
        <c:crosses val="autoZero"/>
        <c:auto val="1"/>
        <c:lblAlgn val="ctr"/>
        <c:lblOffset val="100"/>
        <c:noMultiLvlLbl val="0"/>
      </c:catAx>
      <c:valAx>
        <c:axId val="21190728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08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[sales-dashboard-excel.xlsx]Pivot Table 4 — Top Salespeople!PivotTable4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Top Performing Salespersons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3535948193392"/>
          <c:y val="0.18138095238095242"/>
          <c:w val="0.87577305173301934"/>
          <c:h val="0.71329396325459316"/>
        </c:manualLayout>
      </c:layout>
      <c:barChart>
        <c:barDir val="col"/>
        <c:grouping val="clustered"/>
        <c:varyColors val="0"/>
        <c:ser>
          <c:idx val="0"/>
          <c:order val="0"/>
          <c:tx>
            <c:strRef>
              <c:f>'Pivot Table 4 — Top Salespeople'!$B$3</c:f>
              <c:strCache>
                <c:ptCount val="1"/>
                <c:pt idx="0">
                  <c:v>Total</c:v>
                </c:pt>
              </c:strCache>
            </c:strRef>
          </c:tx>
          <c:spPr>
            <a:solidFill>
              <a:schemeClr val="accent1"/>
            </a:solidFill>
            <a:ln>
              <a:noFill/>
            </a:ln>
            <a:effectLst/>
          </c:spPr>
          <c:invertIfNegative val="0"/>
          <c:cat>
            <c:strRef>
              <c:f>'Pivot Table 4 — Top Salespeople'!$A$4:$A$12</c:f>
              <c:strCache>
                <c:ptCount val="8"/>
                <c:pt idx="0">
                  <c:v>Casey</c:v>
                </c:pt>
                <c:pt idx="1">
                  <c:v>Riley</c:v>
                </c:pt>
                <c:pt idx="2">
                  <c:v>Taylor</c:v>
                </c:pt>
                <c:pt idx="3">
                  <c:v>Jordan</c:v>
                </c:pt>
                <c:pt idx="4">
                  <c:v>Drew</c:v>
                </c:pt>
                <c:pt idx="5">
                  <c:v>Alex</c:v>
                </c:pt>
                <c:pt idx="6">
                  <c:v>Morgan</c:v>
                </c:pt>
                <c:pt idx="7">
                  <c:v>Chris</c:v>
                </c:pt>
              </c:strCache>
            </c:strRef>
          </c:cat>
          <c:val>
            <c:numRef>
              <c:f>'Pivot Table 4 — Top Salespeople'!$B$4:$B$12</c:f>
              <c:numCache>
                <c:formatCode>General</c:formatCode>
                <c:ptCount val="8"/>
                <c:pt idx="0">
                  <c:v>118456.77999999998</c:v>
                </c:pt>
                <c:pt idx="1">
                  <c:v>105540.73</c:v>
                </c:pt>
                <c:pt idx="2">
                  <c:v>100129.32999999999</c:v>
                </c:pt>
                <c:pt idx="3">
                  <c:v>92435.670000000013</c:v>
                </c:pt>
                <c:pt idx="4">
                  <c:v>87443.370000000024</c:v>
                </c:pt>
                <c:pt idx="5">
                  <c:v>85419.59</c:v>
                </c:pt>
                <c:pt idx="6">
                  <c:v>76141.730000000025</c:v>
                </c:pt>
                <c:pt idx="7">
                  <c:v>64956.679999999986</c:v>
                </c:pt>
              </c:numCache>
            </c:numRef>
          </c:val>
          <c:extLst>
            <c:ext xmlns:c16="http://schemas.microsoft.com/office/drawing/2014/chart" uri="{C3380CC4-5D6E-409C-BE32-E72D297353CC}">
              <c16:uniqueId val="{00000000-BF48-466D-9280-93808D515C61}"/>
            </c:ext>
          </c:extLst>
        </c:ser>
        <c:dLbls>
          <c:showLegendKey val="0"/>
          <c:showVal val="0"/>
          <c:showCatName val="0"/>
          <c:showSerName val="0"/>
          <c:showPercent val="0"/>
          <c:showBubbleSize val="0"/>
        </c:dLbls>
        <c:gapWidth val="219"/>
        <c:overlap val="-27"/>
        <c:axId val="2119080080"/>
        <c:axId val="2119081520"/>
      </c:barChart>
      <c:catAx>
        <c:axId val="211908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081520"/>
        <c:crosses val="autoZero"/>
        <c:auto val="1"/>
        <c:lblAlgn val="ctr"/>
        <c:lblOffset val="100"/>
        <c:noMultiLvlLbl val="0"/>
      </c:catAx>
      <c:valAx>
        <c:axId val="21190815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08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594360</xdr:colOff>
      <xdr:row>4</xdr:row>
      <xdr:rowOff>53340</xdr:rowOff>
    </xdr:from>
    <xdr:to>
      <xdr:col>8</xdr:col>
      <xdr:colOff>594360</xdr:colOff>
      <xdr:row>18</xdr:row>
      <xdr:rowOff>74295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64E4DA8-44F3-635B-77F1-2AFBD4E9A1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44340" y="784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251460</xdr:colOff>
      <xdr:row>4</xdr:row>
      <xdr:rowOff>60960</xdr:rowOff>
    </xdr:from>
    <xdr:to>
      <xdr:col>12</xdr:col>
      <xdr:colOff>251460</xdr:colOff>
      <xdr:row>18</xdr:row>
      <xdr:rowOff>81915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E78E6C80-ED48-B871-BE3D-0A955C4C80D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339840" y="792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205740</xdr:colOff>
      <xdr:row>3</xdr:row>
      <xdr:rowOff>91440</xdr:rowOff>
    </xdr:from>
    <xdr:to>
      <xdr:col>19</xdr:col>
      <xdr:colOff>205740</xdr:colOff>
      <xdr:row>17</xdr:row>
      <xdr:rowOff>112395</xdr:rowOff>
    </xdr:to>
    <mc:AlternateContent xmlns:mc="http://schemas.openxmlformats.org/markup-compatibility/2006" xmlns:a14="http://schemas.microsoft.com/office/drawing/2010/main">
      <mc:Choice Requires="a14">
        <xdr:graphicFrame macro="">
          <xdr:nvGraphicFramePr>
            <xdr:cNvPr id="5" name="Salesperson">
              <a:extLst>
                <a:ext uri="{FF2B5EF4-FFF2-40B4-BE49-F238E27FC236}">
                  <a16:creationId xmlns:a16="http://schemas.microsoft.com/office/drawing/2014/main" id="{CDC521AE-E2C5-DA0B-36AF-A1D7567EAC5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561320" y="6400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403860</xdr:colOff>
      <xdr:row>4</xdr:row>
      <xdr:rowOff>68580</xdr:rowOff>
    </xdr:from>
    <xdr:to>
      <xdr:col>15</xdr:col>
      <xdr:colOff>403860</xdr:colOff>
      <xdr:row>18</xdr:row>
      <xdr:rowOff>89535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7B0451A7-F246-99CC-BD9B-02F374304EA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321040" y="8001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0</xdr:rowOff>
    </xdr:from>
    <xdr:to>
      <xdr:col>8</xdr:col>
      <xdr:colOff>304800</xdr:colOff>
      <xdr:row>24</xdr:row>
      <xdr:rowOff>0</xdr:rowOff>
    </xdr:to>
    <xdr:graphicFrame macro="">
      <xdr:nvGraphicFramePr>
        <xdr:cNvPr id="2" name="Chart 1">
          <a:extLst>
            <a:ext uri="{FF2B5EF4-FFF2-40B4-BE49-F238E27FC236}">
              <a16:creationId xmlns:a16="http://schemas.microsoft.com/office/drawing/2014/main" id="{D09AFC31-E133-446F-9F67-26864C911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9</xdr:row>
      <xdr:rowOff>0</xdr:rowOff>
    </xdr:from>
    <xdr:to>
      <xdr:col>17</xdr:col>
      <xdr:colOff>388620</xdr:colOff>
      <xdr:row>23</xdr:row>
      <xdr:rowOff>49530</xdr:rowOff>
    </xdr:to>
    <xdr:graphicFrame macro="">
      <xdr:nvGraphicFramePr>
        <xdr:cNvPr id="3" name="Chart 2">
          <a:extLst>
            <a:ext uri="{FF2B5EF4-FFF2-40B4-BE49-F238E27FC236}">
              <a16:creationId xmlns:a16="http://schemas.microsoft.com/office/drawing/2014/main" id="{D4F36480-A904-4580-ACCB-715AF50AB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28</xdr:row>
      <xdr:rowOff>0</xdr:rowOff>
    </xdr:from>
    <xdr:to>
      <xdr:col>8</xdr:col>
      <xdr:colOff>304800</xdr:colOff>
      <xdr:row>43</xdr:row>
      <xdr:rowOff>0</xdr:rowOff>
    </xdr:to>
    <xdr:graphicFrame macro="">
      <xdr:nvGraphicFramePr>
        <xdr:cNvPr id="4" name="Chart 3">
          <a:extLst>
            <a:ext uri="{FF2B5EF4-FFF2-40B4-BE49-F238E27FC236}">
              <a16:creationId xmlns:a16="http://schemas.microsoft.com/office/drawing/2014/main" id="{433D0257-6463-4E49-8BEF-3567C1898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28</xdr:row>
      <xdr:rowOff>0</xdr:rowOff>
    </xdr:from>
    <xdr:to>
      <xdr:col>17</xdr:col>
      <xdr:colOff>304800</xdr:colOff>
      <xdr:row>43</xdr:row>
      <xdr:rowOff>0</xdr:rowOff>
    </xdr:to>
    <xdr:graphicFrame macro="">
      <xdr:nvGraphicFramePr>
        <xdr:cNvPr id="5" name="Chart 4">
          <a:extLst>
            <a:ext uri="{FF2B5EF4-FFF2-40B4-BE49-F238E27FC236}">
              <a16:creationId xmlns:a16="http://schemas.microsoft.com/office/drawing/2014/main" id="{CB91CEB2-3B33-410F-8361-46A653B48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387639</xdr:colOff>
      <xdr:row>29</xdr:row>
      <xdr:rowOff>66874</xdr:rowOff>
    </xdr:from>
    <xdr:to>
      <xdr:col>21</xdr:col>
      <xdr:colOff>387639</xdr:colOff>
      <xdr:row>43</xdr:row>
      <xdr:rowOff>87829</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B78B0E4C-11C4-4050-8C88-8E7CBC7E619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776739" y="5553274"/>
              <a:ext cx="1828800" cy="2510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380538</xdr:colOff>
      <xdr:row>15</xdr:row>
      <xdr:rowOff>63500</xdr:rowOff>
    </xdr:from>
    <xdr:to>
      <xdr:col>21</xdr:col>
      <xdr:colOff>380538</xdr:colOff>
      <xdr:row>29</xdr:row>
      <xdr:rowOff>69479</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E64E4F90-E02C-44C8-BA28-11CC1B548FB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4769638" y="3060700"/>
              <a:ext cx="1828800" cy="2495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398873</xdr:colOff>
      <xdr:row>29</xdr:row>
      <xdr:rowOff>77893</xdr:rowOff>
    </xdr:from>
    <xdr:to>
      <xdr:col>24</xdr:col>
      <xdr:colOff>398873</xdr:colOff>
      <xdr:row>43</xdr:row>
      <xdr:rowOff>98847</xdr:rowOff>
    </xdr:to>
    <mc:AlternateContent xmlns:mc="http://schemas.openxmlformats.org/markup-compatibility/2006" xmlns:a14="http://schemas.microsoft.com/office/drawing/2010/main">
      <mc:Choice Requires="a14">
        <xdr:graphicFrame macro="">
          <xdr:nvGraphicFramePr>
            <xdr:cNvPr id="8" name="Salesperson 1">
              <a:extLst>
                <a:ext uri="{FF2B5EF4-FFF2-40B4-BE49-F238E27FC236}">
                  <a16:creationId xmlns:a16="http://schemas.microsoft.com/office/drawing/2014/main" id="{D2D5FE73-A347-4027-B0B4-9F028833552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6616773" y="5564293"/>
              <a:ext cx="1828800" cy="2510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387058</xdr:colOff>
      <xdr:row>15</xdr:row>
      <xdr:rowOff>58287</xdr:rowOff>
    </xdr:from>
    <xdr:to>
      <xdr:col>24</xdr:col>
      <xdr:colOff>387058</xdr:colOff>
      <xdr:row>29</xdr:row>
      <xdr:rowOff>77976</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8450B0CB-460C-4F5D-BDA1-15216237A8A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604958" y="3055487"/>
              <a:ext cx="1828800" cy="2508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457200</xdr:colOff>
      <xdr:row>0</xdr:row>
      <xdr:rowOff>88900</xdr:rowOff>
    </xdr:from>
    <xdr:to>
      <xdr:col>25</xdr:col>
      <xdr:colOff>533400</xdr:colOff>
      <xdr:row>12</xdr:row>
      <xdr:rowOff>50800</xdr:rowOff>
    </xdr:to>
    <xdr:sp macro="" textlink="">
      <xdr:nvSpPr>
        <xdr:cNvPr id="10" name="Rectangle 9">
          <a:extLst>
            <a:ext uri="{FF2B5EF4-FFF2-40B4-BE49-F238E27FC236}">
              <a16:creationId xmlns:a16="http://schemas.microsoft.com/office/drawing/2014/main" id="{E9B6EDC2-4CCF-4D3C-9AA0-0C18ADE330A0}"/>
            </a:ext>
          </a:extLst>
        </xdr:cNvPr>
        <xdr:cNvSpPr/>
      </xdr:nvSpPr>
      <xdr:spPr>
        <a:xfrm>
          <a:off x="14236700" y="88900"/>
          <a:ext cx="4953000" cy="24257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                                 Sales</a:t>
          </a:r>
          <a:r>
            <a:rPr lang="en-US" sz="1200" b="1" baseline="0">
              <a:solidFill>
                <a:sysClr val="windowText" lastClr="000000"/>
              </a:solidFill>
            </a:rPr>
            <a:t> Perfotmance Dashboard (Excel Data Analytics)</a:t>
          </a:r>
          <a:r>
            <a:rPr lang="en-US" sz="1200" b="1">
              <a:solidFill>
                <a:schemeClr val="bg1"/>
              </a:solidFill>
            </a:rPr>
            <a:t>.</a:t>
          </a:r>
        </a:p>
        <a:p>
          <a:pPr algn="l"/>
          <a:endParaRPr lang="en-US" sz="1100" b="0">
            <a:solidFill>
              <a:sysClr val="windowText" lastClr="000000"/>
            </a:solidFill>
          </a:endParaRPr>
        </a:p>
        <a:p>
          <a:r>
            <a:rPr lang="en-US" sz="1100"/>
            <a:t>• Overall sales performance is strong, generating total revenue of </a:t>
          </a:r>
          <a:r>
            <a:rPr lang="en-US" sz="1100" b="1"/>
            <a:t>$730,523.88</a:t>
          </a:r>
          <a:r>
            <a:rPr lang="en-US" sz="1100"/>
            <a:t> from </a:t>
          </a:r>
          <a:r>
            <a:rPr lang="en-US" sz="1100" b="1"/>
            <a:t>2,791 units sold</a:t>
          </a:r>
          <a:r>
            <a:rPr lang="en-US" sz="1100" b="0"/>
            <a:t>.</a:t>
          </a:r>
        </a:p>
        <a:p>
          <a:r>
            <a:rPr lang="en-US"/>
            <a:t>• </a:t>
          </a:r>
          <a:r>
            <a:rPr lang="en-US" b="1"/>
            <a:t>Laptops are the leading revenue driver</a:t>
          </a:r>
          <a:r>
            <a:rPr lang="en-US"/>
            <a:t>, contributing the highest share of total sales among all products.</a:t>
          </a:r>
        </a:p>
        <a:p>
          <a:r>
            <a:rPr lang="en-US"/>
            <a:t>• Sales performance varies across regions, with the </a:t>
          </a:r>
          <a:r>
            <a:rPr lang="en-US" b="1"/>
            <a:t>North and South regions outperforming</a:t>
          </a:r>
          <a:r>
            <a:rPr lang="en-US"/>
            <a:t>, while the </a:t>
          </a:r>
          <a:r>
            <a:rPr lang="en-US" b="1"/>
            <a:t>East region shows comparatively lower revenue</a:t>
          </a:r>
          <a:r>
            <a:rPr lang="en-US"/>
            <a:t> and may require strategic attention.</a:t>
          </a:r>
        </a:p>
        <a:p>
          <a:r>
            <a:rPr lang="en-US"/>
            <a:t>• The top-performing sales representatives are </a:t>
          </a:r>
          <a:r>
            <a:rPr lang="en-US" b="1"/>
            <a:t>Casey and Riley</a:t>
          </a:r>
          <a:r>
            <a:rPr lang="en-US"/>
            <a:t>, consistently achieving higher sales volumes than peers.</a:t>
          </a:r>
        </a:p>
        <a:p>
          <a:r>
            <a:rPr lang="en-US"/>
            <a:t>• Monthly sales trends indicate noticeable fluctuations, suggesting demand is seasonal and influenced by time-based purchasing behavior.</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2.445302546294" createdVersion="8" refreshedVersion="8" minRefreshableVersion="3" recordCount="600" xr:uid="{2E81B919-5BE0-4F09-A481-2D09C0022865}">
  <cacheSource type="worksheet">
    <worksheetSource name="SalesData"/>
  </cacheSource>
  <cacheFields count="9">
    <cacheField name="Order Date" numFmtId="14">
      <sharedItems containsSemiMixedTypes="0" containsNonDate="0" containsDate="1" containsString="0" minDate="2024-01-01T00:00:00" maxDate="2026-01-01T00:00:00"/>
    </cacheField>
    <cacheField name="Region" numFmtId="0">
      <sharedItems count="4">
        <s v="West"/>
        <s v="North"/>
        <s v="South"/>
        <s v="East"/>
      </sharedItems>
    </cacheField>
    <cacheField name="Product" numFmtId="0">
      <sharedItems count="8">
        <s v="Mouse"/>
        <s v="Desk"/>
        <s v="Laptop"/>
        <s v="Keyboard"/>
        <s v="Headset"/>
        <s v="Monitor"/>
        <s v="Desk Chair"/>
        <s v="Printer"/>
      </sharedItems>
    </cacheField>
    <cacheField name="Category" numFmtId="0">
      <sharedItems/>
    </cacheField>
    <cacheField name="Salesperson" numFmtId="0">
      <sharedItems count="8">
        <s v="Casey"/>
        <s v="Jordan"/>
        <s v="Drew"/>
        <s v="Chris"/>
        <s v="Taylor"/>
        <s v="Alex"/>
        <s v="Riley"/>
        <s v="Morgan"/>
      </sharedItems>
    </cacheField>
    <cacheField name="Quantity" numFmtId="0">
      <sharedItems containsSemiMixedTypes="0" containsString="0" containsNumber="1" containsInteger="1" minValue="1" maxValue="8"/>
    </cacheField>
    <cacheField name="Unit Price" numFmtId="0">
      <sharedItems containsSemiMixedTypes="0" containsString="0" containsNumber="1" minValue="27.04" maxValue="989.39"/>
    </cacheField>
    <cacheField name="Revenue" numFmtId="0">
      <sharedItems containsSemiMixedTypes="0" containsString="0" containsNumber="1" minValue="27.17" maxValue="7776.64"/>
    </cacheField>
    <cacheField name="Month" numFmtId="0">
      <sharedItems count="24">
        <s v="Oct-2025"/>
        <s v="Apr-2024"/>
        <s v="Jan-2024"/>
        <s v="Oct-2024"/>
        <s v="Sep-2024"/>
        <s v="Aug-2024"/>
        <s v="May-2024"/>
        <s v="Nov-2025"/>
        <s v="Jul-2025"/>
        <s v="Mar-2024"/>
        <s v="Aug-2025"/>
        <s v="Mar-2025"/>
        <s v="Feb-2024"/>
        <s v="Jun-2025"/>
        <s v="Sep-2025"/>
        <s v="Jul-2024"/>
        <s v="Dec-2025"/>
        <s v="Apr-2025"/>
        <s v="Jun-2024"/>
        <s v="Dec-2024"/>
        <s v="Jan-2025"/>
        <s v="Nov-2024"/>
        <s v="Feb-2025"/>
        <s v="May-2025"/>
      </sharedItems>
    </cacheField>
  </cacheFields>
  <extLst>
    <ext xmlns:x14="http://schemas.microsoft.com/office/spreadsheetml/2009/9/main" uri="{725AE2AE-9491-48be-B2B4-4EB974FC3084}">
      <x14:pivotCacheDefinition pivotCacheId="838086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d v="2025-10-16T00:00:00"/>
    <x v="0"/>
    <x v="0"/>
    <s v="Accessories"/>
    <x v="0"/>
    <n v="7"/>
    <n v="29.25"/>
    <n v="204.75"/>
    <x v="0"/>
  </r>
  <r>
    <d v="2024-04-24T00:00:00"/>
    <x v="1"/>
    <x v="0"/>
    <s v="Accessories"/>
    <x v="1"/>
    <n v="3"/>
    <n v="32.700000000000003"/>
    <n v="98.1"/>
    <x v="1"/>
  </r>
  <r>
    <d v="2024-01-26T00:00:00"/>
    <x v="2"/>
    <x v="1"/>
    <s v="Furniture"/>
    <x v="2"/>
    <n v="4"/>
    <n v="418.56"/>
    <n v="1674.24"/>
    <x v="2"/>
  </r>
  <r>
    <d v="2024-10-08T00:00:00"/>
    <x v="1"/>
    <x v="2"/>
    <s v="Electronics"/>
    <x v="2"/>
    <n v="4"/>
    <n v="917.76"/>
    <n v="3671.04"/>
    <x v="3"/>
  </r>
  <r>
    <d v="2024-09-07T00:00:00"/>
    <x v="3"/>
    <x v="3"/>
    <s v="Accessories"/>
    <x v="2"/>
    <n v="8"/>
    <n v="41.9"/>
    <n v="335.2"/>
    <x v="4"/>
  </r>
  <r>
    <d v="2024-08-16T00:00:00"/>
    <x v="2"/>
    <x v="1"/>
    <s v="Furniture"/>
    <x v="2"/>
    <n v="8"/>
    <n v="372.48"/>
    <n v="2979.84"/>
    <x v="5"/>
  </r>
  <r>
    <d v="2024-05-22T00:00:00"/>
    <x v="2"/>
    <x v="4"/>
    <s v="Accessories"/>
    <x v="3"/>
    <n v="5"/>
    <n v="63.81"/>
    <n v="319.05"/>
    <x v="6"/>
  </r>
  <r>
    <d v="2024-04-14T00:00:00"/>
    <x v="3"/>
    <x v="4"/>
    <s v="Accessories"/>
    <x v="2"/>
    <n v="4"/>
    <n v="75.13"/>
    <n v="300.52"/>
    <x v="1"/>
  </r>
  <r>
    <d v="2025-11-23T00:00:00"/>
    <x v="2"/>
    <x v="5"/>
    <s v="Electronics"/>
    <x v="3"/>
    <n v="5"/>
    <n v="255.06"/>
    <n v="1275.3"/>
    <x v="7"/>
  </r>
  <r>
    <d v="2025-07-12T00:00:00"/>
    <x v="1"/>
    <x v="6"/>
    <s v="Furniture"/>
    <x v="4"/>
    <n v="6"/>
    <n v="187.49"/>
    <n v="1124.94"/>
    <x v="8"/>
  </r>
  <r>
    <d v="2024-03-30T00:00:00"/>
    <x v="0"/>
    <x v="3"/>
    <s v="Accessories"/>
    <x v="4"/>
    <n v="4"/>
    <n v="40.69"/>
    <n v="162.76"/>
    <x v="9"/>
  </r>
  <r>
    <d v="2025-08-27T00:00:00"/>
    <x v="0"/>
    <x v="0"/>
    <s v="Accessories"/>
    <x v="0"/>
    <n v="2"/>
    <n v="32.82"/>
    <n v="65.64"/>
    <x v="10"/>
  </r>
  <r>
    <d v="2025-03-08T00:00:00"/>
    <x v="0"/>
    <x v="6"/>
    <s v="Furniture"/>
    <x v="5"/>
    <n v="8"/>
    <n v="191.97"/>
    <n v="1535.76"/>
    <x v="11"/>
  </r>
  <r>
    <d v="2024-02-02T00:00:00"/>
    <x v="0"/>
    <x v="0"/>
    <s v="Accessories"/>
    <x v="5"/>
    <n v="7"/>
    <n v="28.27"/>
    <n v="197.89"/>
    <x v="12"/>
  </r>
  <r>
    <d v="2024-01-31T00:00:00"/>
    <x v="1"/>
    <x v="1"/>
    <s v="Furniture"/>
    <x v="6"/>
    <n v="8"/>
    <n v="374.55"/>
    <n v="2996.4"/>
    <x v="2"/>
  </r>
  <r>
    <d v="2024-04-05T00:00:00"/>
    <x v="0"/>
    <x v="7"/>
    <s v="Office Equipment"/>
    <x v="7"/>
    <n v="7"/>
    <n v="299.74"/>
    <n v="2098.1799999999998"/>
    <x v="1"/>
  </r>
  <r>
    <d v="2024-08-11T00:00:00"/>
    <x v="3"/>
    <x v="4"/>
    <s v="Accessories"/>
    <x v="0"/>
    <n v="4"/>
    <n v="67.260000000000005"/>
    <n v="269.04000000000002"/>
    <x v="5"/>
  </r>
  <r>
    <d v="2024-08-26T00:00:00"/>
    <x v="0"/>
    <x v="4"/>
    <s v="Accessories"/>
    <x v="6"/>
    <n v="1"/>
    <n v="70.349999999999994"/>
    <n v="70.349999999999994"/>
    <x v="5"/>
  </r>
  <r>
    <d v="2025-06-01T00:00:00"/>
    <x v="0"/>
    <x v="1"/>
    <s v="Furniture"/>
    <x v="4"/>
    <n v="3"/>
    <n v="394.56"/>
    <n v="1183.68"/>
    <x v="13"/>
  </r>
  <r>
    <d v="2025-09-08T00:00:00"/>
    <x v="1"/>
    <x v="2"/>
    <s v="Electronics"/>
    <x v="1"/>
    <n v="7"/>
    <n v="862.42"/>
    <n v="6036.94"/>
    <x v="14"/>
  </r>
  <r>
    <d v="2024-01-28T00:00:00"/>
    <x v="0"/>
    <x v="1"/>
    <s v="Furniture"/>
    <x v="4"/>
    <n v="3"/>
    <n v="408.95"/>
    <n v="1226.8499999999999"/>
    <x v="2"/>
  </r>
  <r>
    <d v="2025-07-28T00:00:00"/>
    <x v="0"/>
    <x v="2"/>
    <s v="Electronics"/>
    <x v="6"/>
    <n v="5"/>
    <n v="835.11"/>
    <n v="4175.55"/>
    <x v="8"/>
  </r>
  <r>
    <d v="2024-07-22T00:00:00"/>
    <x v="3"/>
    <x v="0"/>
    <s v="Accessories"/>
    <x v="6"/>
    <n v="8"/>
    <n v="28.75"/>
    <n v="230"/>
    <x v="15"/>
  </r>
  <r>
    <d v="2025-10-27T00:00:00"/>
    <x v="0"/>
    <x v="1"/>
    <s v="Furniture"/>
    <x v="3"/>
    <n v="5"/>
    <n v="389.31"/>
    <n v="1946.55"/>
    <x v="0"/>
  </r>
  <r>
    <d v="2025-12-19T00:00:00"/>
    <x v="1"/>
    <x v="5"/>
    <s v="Electronics"/>
    <x v="5"/>
    <n v="8"/>
    <n v="247.8"/>
    <n v="1982.4"/>
    <x v="16"/>
  </r>
  <r>
    <d v="2025-07-12T00:00:00"/>
    <x v="1"/>
    <x v="6"/>
    <s v="Furniture"/>
    <x v="5"/>
    <n v="4"/>
    <n v="190.27"/>
    <n v="761.08"/>
    <x v="8"/>
  </r>
  <r>
    <d v="2025-03-05T00:00:00"/>
    <x v="2"/>
    <x v="2"/>
    <s v="Electronics"/>
    <x v="5"/>
    <n v="4"/>
    <n v="845.94"/>
    <n v="3383.76"/>
    <x v="11"/>
  </r>
  <r>
    <d v="2024-08-13T00:00:00"/>
    <x v="2"/>
    <x v="3"/>
    <s v="Accessories"/>
    <x v="2"/>
    <n v="4"/>
    <n v="45.13"/>
    <n v="180.52"/>
    <x v="5"/>
  </r>
  <r>
    <d v="2025-04-04T00:00:00"/>
    <x v="0"/>
    <x v="5"/>
    <s v="Electronics"/>
    <x v="3"/>
    <n v="4"/>
    <n v="254.62"/>
    <n v="1018.48"/>
    <x v="17"/>
  </r>
  <r>
    <d v="2025-08-26T00:00:00"/>
    <x v="1"/>
    <x v="6"/>
    <s v="Furniture"/>
    <x v="4"/>
    <n v="3"/>
    <n v="163.66999999999999"/>
    <n v="491.01"/>
    <x v="10"/>
  </r>
  <r>
    <d v="2024-10-11T00:00:00"/>
    <x v="1"/>
    <x v="7"/>
    <s v="Office Equipment"/>
    <x v="3"/>
    <n v="2"/>
    <n v="326.88"/>
    <n v="653.76"/>
    <x v="3"/>
  </r>
  <r>
    <d v="2024-01-07T00:00:00"/>
    <x v="2"/>
    <x v="1"/>
    <s v="Furniture"/>
    <x v="1"/>
    <n v="7"/>
    <n v="373.64"/>
    <n v="2615.48"/>
    <x v="2"/>
  </r>
  <r>
    <d v="2024-06-12T00:00:00"/>
    <x v="3"/>
    <x v="0"/>
    <s v="Accessories"/>
    <x v="1"/>
    <n v="2"/>
    <n v="27.39"/>
    <n v="54.78"/>
    <x v="18"/>
  </r>
  <r>
    <d v="2025-12-15T00:00:00"/>
    <x v="0"/>
    <x v="2"/>
    <s v="Electronics"/>
    <x v="6"/>
    <n v="6"/>
    <n v="980.8"/>
    <n v="5884.8"/>
    <x v="16"/>
  </r>
  <r>
    <d v="2025-03-08T00:00:00"/>
    <x v="1"/>
    <x v="5"/>
    <s v="Electronics"/>
    <x v="0"/>
    <n v="6"/>
    <n v="273.27999999999997"/>
    <n v="1639.68"/>
    <x v="11"/>
  </r>
  <r>
    <d v="2024-12-14T00:00:00"/>
    <x v="0"/>
    <x v="4"/>
    <s v="Accessories"/>
    <x v="6"/>
    <n v="2"/>
    <n v="74.319999999999993"/>
    <n v="148.63999999999999"/>
    <x v="19"/>
  </r>
  <r>
    <d v="2024-10-11T00:00:00"/>
    <x v="0"/>
    <x v="4"/>
    <s v="Accessories"/>
    <x v="4"/>
    <n v="3"/>
    <n v="67.260000000000005"/>
    <n v="201.78"/>
    <x v="3"/>
  </r>
  <r>
    <d v="2024-06-08T00:00:00"/>
    <x v="0"/>
    <x v="7"/>
    <s v="Office Equipment"/>
    <x v="0"/>
    <n v="8"/>
    <n v="294.25"/>
    <n v="2354"/>
    <x v="18"/>
  </r>
  <r>
    <d v="2024-08-08T00:00:00"/>
    <x v="2"/>
    <x v="7"/>
    <s v="Office Equipment"/>
    <x v="1"/>
    <n v="6"/>
    <n v="331.79"/>
    <n v="1990.74"/>
    <x v="5"/>
  </r>
  <r>
    <d v="2024-12-10T00:00:00"/>
    <x v="2"/>
    <x v="7"/>
    <s v="Office Equipment"/>
    <x v="2"/>
    <n v="8"/>
    <n v="316.17"/>
    <n v="2529.36"/>
    <x v="19"/>
  </r>
  <r>
    <d v="2024-04-14T00:00:00"/>
    <x v="1"/>
    <x v="1"/>
    <s v="Furniture"/>
    <x v="2"/>
    <n v="6"/>
    <n v="369.76"/>
    <n v="2218.56"/>
    <x v="1"/>
  </r>
  <r>
    <d v="2024-04-04T00:00:00"/>
    <x v="0"/>
    <x v="6"/>
    <s v="Furniture"/>
    <x v="7"/>
    <n v="3"/>
    <n v="179.83"/>
    <n v="539.49"/>
    <x v="1"/>
  </r>
  <r>
    <d v="2025-01-24T00:00:00"/>
    <x v="3"/>
    <x v="6"/>
    <s v="Furniture"/>
    <x v="3"/>
    <n v="5"/>
    <n v="163.24"/>
    <n v="816.2"/>
    <x v="20"/>
  </r>
  <r>
    <d v="2024-04-09T00:00:00"/>
    <x v="2"/>
    <x v="7"/>
    <s v="Office Equipment"/>
    <x v="1"/>
    <n v="1"/>
    <n v="346.2"/>
    <n v="346.2"/>
    <x v="1"/>
  </r>
  <r>
    <d v="2025-01-02T00:00:00"/>
    <x v="0"/>
    <x v="0"/>
    <s v="Accessories"/>
    <x v="7"/>
    <n v="7"/>
    <n v="28.55"/>
    <n v="199.85"/>
    <x v="20"/>
  </r>
  <r>
    <d v="2024-12-18T00:00:00"/>
    <x v="0"/>
    <x v="4"/>
    <s v="Accessories"/>
    <x v="5"/>
    <n v="8"/>
    <n v="72.28"/>
    <n v="578.24"/>
    <x v="19"/>
  </r>
  <r>
    <d v="2025-09-10T00:00:00"/>
    <x v="2"/>
    <x v="5"/>
    <s v="Electronics"/>
    <x v="0"/>
    <n v="5"/>
    <n v="240.59"/>
    <n v="1202.95"/>
    <x v="14"/>
  </r>
  <r>
    <d v="2024-09-27T00:00:00"/>
    <x v="3"/>
    <x v="0"/>
    <s v="Accessories"/>
    <x v="2"/>
    <n v="5"/>
    <n v="30.12"/>
    <n v="150.6"/>
    <x v="4"/>
  </r>
  <r>
    <d v="2024-02-14T00:00:00"/>
    <x v="3"/>
    <x v="6"/>
    <s v="Furniture"/>
    <x v="6"/>
    <n v="7"/>
    <n v="181.68"/>
    <n v="1271.76"/>
    <x v="12"/>
  </r>
  <r>
    <d v="2025-04-15T00:00:00"/>
    <x v="3"/>
    <x v="4"/>
    <s v="Accessories"/>
    <x v="3"/>
    <n v="5"/>
    <n v="65.59"/>
    <n v="327.95"/>
    <x v="17"/>
  </r>
  <r>
    <d v="2025-07-03T00:00:00"/>
    <x v="2"/>
    <x v="0"/>
    <s v="Accessories"/>
    <x v="6"/>
    <n v="2"/>
    <n v="32.82"/>
    <n v="65.64"/>
    <x v="8"/>
  </r>
  <r>
    <d v="2024-05-07T00:00:00"/>
    <x v="2"/>
    <x v="5"/>
    <s v="Electronics"/>
    <x v="7"/>
    <n v="3"/>
    <n v="263.76"/>
    <n v="791.28"/>
    <x v="6"/>
  </r>
  <r>
    <d v="2025-01-22T00:00:00"/>
    <x v="3"/>
    <x v="4"/>
    <s v="Accessories"/>
    <x v="1"/>
    <n v="5"/>
    <n v="76.150000000000006"/>
    <n v="380.75"/>
    <x v="20"/>
  </r>
  <r>
    <d v="2024-03-21T00:00:00"/>
    <x v="2"/>
    <x v="0"/>
    <s v="Accessories"/>
    <x v="6"/>
    <n v="5"/>
    <n v="32.369999999999997"/>
    <n v="161.85"/>
    <x v="9"/>
  </r>
  <r>
    <d v="2025-07-19T00:00:00"/>
    <x v="1"/>
    <x v="3"/>
    <s v="Accessories"/>
    <x v="4"/>
    <n v="5"/>
    <n v="45.88"/>
    <n v="229.4"/>
    <x v="8"/>
  </r>
  <r>
    <d v="2024-10-27T00:00:00"/>
    <x v="1"/>
    <x v="7"/>
    <s v="Office Equipment"/>
    <x v="3"/>
    <n v="1"/>
    <n v="347"/>
    <n v="347"/>
    <x v="3"/>
  </r>
  <r>
    <d v="2025-10-05T00:00:00"/>
    <x v="1"/>
    <x v="3"/>
    <s v="Accessories"/>
    <x v="5"/>
    <n v="8"/>
    <n v="41.3"/>
    <n v="330.4"/>
    <x v="0"/>
  </r>
  <r>
    <d v="2025-09-25T00:00:00"/>
    <x v="0"/>
    <x v="7"/>
    <s v="Office Equipment"/>
    <x v="2"/>
    <n v="8"/>
    <n v="300.54000000000002"/>
    <n v="2404.3200000000002"/>
    <x v="14"/>
  </r>
  <r>
    <d v="2025-01-05T00:00:00"/>
    <x v="1"/>
    <x v="6"/>
    <s v="Furniture"/>
    <x v="3"/>
    <n v="3"/>
    <n v="163.63"/>
    <n v="490.89"/>
    <x v="20"/>
  </r>
  <r>
    <d v="2025-08-14T00:00:00"/>
    <x v="1"/>
    <x v="4"/>
    <s v="Accessories"/>
    <x v="0"/>
    <n v="2"/>
    <n v="67.55"/>
    <n v="135.1"/>
    <x v="10"/>
  </r>
  <r>
    <d v="2024-07-15T00:00:00"/>
    <x v="1"/>
    <x v="4"/>
    <s v="Accessories"/>
    <x v="4"/>
    <n v="2"/>
    <n v="68.44"/>
    <n v="136.88"/>
    <x v="15"/>
  </r>
  <r>
    <d v="2025-12-22T00:00:00"/>
    <x v="1"/>
    <x v="3"/>
    <s v="Accessories"/>
    <x v="7"/>
    <n v="5"/>
    <n v="42.94"/>
    <n v="214.7"/>
    <x v="16"/>
  </r>
  <r>
    <d v="2024-03-12T00:00:00"/>
    <x v="2"/>
    <x v="5"/>
    <s v="Electronics"/>
    <x v="0"/>
    <n v="7"/>
    <n v="266.44"/>
    <n v="1865.08"/>
    <x v="9"/>
  </r>
  <r>
    <d v="2024-02-16T00:00:00"/>
    <x v="3"/>
    <x v="4"/>
    <s v="Accessories"/>
    <x v="0"/>
    <n v="8"/>
    <n v="67.989999999999995"/>
    <n v="543.91999999999996"/>
    <x v="12"/>
  </r>
  <r>
    <d v="2025-11-08T00:00:00"/>
    <x v="1"/>
    <x v="7"/>
    <s v="Office Equipment"/>
    <x v="7"/>
    <n v="1"/>
    <n v="305.98"/>
    <n v="305.98"/>
    <x v="7"/>
  </r>
  <r>
    <d v="2024-08-21T00:00:00"/>
    <x v="1"/>
    <x v="0"/>
    <s v="Accessories"/>
    <x v="4"/>
    <n v="5"/>
    <n v="30.26"/>
    <n v="151.30000000000001"/>
    <x v="5"/>
  </r>
  <r>
    <d v="2024-10-23T00:00:00"/>
    <x v="1"/>
    <x v="0"/>
    <s v="Accessories"/>
    <x v="4"/>
    <n v="3"/>
    <n v="27.85"/>
    <n v="83.55"/>
    <x v="3"/>
  </r>
  <r>
    <d v="2024-03-22T00:00:00"/>
    <x v="0"/>
    <x v="2"/>
    <s v="Electronics"/>
    <x v="2"/>
    <n v="7"/>
    <n v="954.4"/>
    <n v="6680.8"/>
    <x v="9"/>
  </r>
  <r>
    <d v="2024-08-26T00:00:00"/>
    <x v="2"/>
    <x v="7"/>
    <s v="Office Equipment"/>
    <x v="3"/>
    <n v="1"/>
    <n v="292.77"/>
    <n v="292.77"/>
    <x v="5"/>
  </r>
  <r>
    <d v="2024-04-13T00:00:00"/>
    <x v="1"/>
    <x v="7"/>
    <s v="Office Equipment"/>
    <x v="7"/>
    <n v="8"/>
    <n v="351.16"/>
    <n v="2809.28"/>
    <x v="1"/>
  </r>
  <r>
    <d v="2025-01-24T00:00:00"/>
    <x v="0"/>
    <x v="7"/>
    <s v="Office Equipment"/>
    <x v="1"/>
    <n v="4"/>
    <n v="337.42"/>
    <n v="1349.68"/>
    <x v="20"/>
  </r>
  <r>
    <d v="2024-10-11T00:00:00"/>
    <x v="3"/>
    <x v="0"/>
    <s v="Accessories"/>
    <x v="4"/>
    <n v="3"/>
    <n v="28.19"/>
    <n v="84.57"/>
    <x v="3"/>
  </r>
  <r>
    <d v="2025-04-09T00:00:00"/>
    <x v="2"/>
    <x v="5"/>
    <s v="Electronics"/>
    <x v="3"/>
    <n v="1"/>
    <n v="225.28"/>
    <n v="225.28"/>
    <x v="17"/>
  </r>
  <r>
    <d v="2025-10-12T00:00:00"/>
    <x v="1"/>
    <x v="7"/>
    <s v="Office Equipment"/>
    <x v="2"/>
    <n v="8"/>
    <n v="340.19"/>
    <n v="2721.52"/>
    <x v="0"/>
  </r>
  <r>
    <d v="2025-01-08T00:00:00"/>
    <x v="3"/>
    <x v="7"/>
    <s v="Office Equipment"/>
    <x v="2"/>
    <n v="7"/>
    <n v="333.24"/>
    <n v="2332.6799999999998"/>
    <x v="20"/>
  </r>
  <r>
    <d v="2024-06-15T00:00:00"/>
    <x v="1"/>
    <x v="4"/>
    <s v="Accessories"/>
    <x v="0"/>
    <n v="2"/>
    <n v="73.209999999999994"/>
    <n v="146.41999999999999"/>
    <x v="18"/>
  </r>
  <r>
    <d v="2025-01-14T00:00:00"/>
    <x v="1"/>
    <x v="6"/>
    <s v="Furniture"/>
    <x v="1"/>
    <n v="5"/>
    <n v="189.77"/>
    <n v="948.85"/>
    <x v="20"/>
  </r>
  <r>
    <d v="2024-12-29T00:00:00"/>
    <x v="3"/>
    <x v="0"/>
    <s v="Accessories"/>
    <x v="5"/>
    <n v="1"/>
    <n v="27.44"/>
    <n v="27.44"/>
    <x v="19"/>
  </r>
  <r>
    <d v="2024-08-02T00:00:00"/>
    <x v="0"/>
    <x v="3"/>
    <s v="Accessories"/>
    <x v="3"/>
    <n v="8"/>
    <n v="43.73"/>
    <n v="349.84"/>
    <x v="5"/>
  </r>
  <r>
    <d v="2025-11-17T00:00:00"/>
    <x v="0"/>
    <x v="3"/>
    <s v="Accessories"/>
    <x v="1"/>
    <n v="7"/>
    <n v="41.54"/>
    <n v="290.77999999999997"/>
    <x v="7"/>
  </r>
  <r>
    <d v="2024-09-30T00:00:00"/>
    <x v="0"/>
    <x v="4"/>
    <s v="Accessories"/>
    <x v="6"/>
    <n v="6"/>
    <n v="75.08"/>
    <n v="450.48"/>
    <x v="4"/>
  </r>
  <r>
    <d v="2025-12-19T00:00:00"/>
    <x v="2"/>
    <x v="6"/>
    <s v="Furniture"/>
    <x v="6"/>
    <n v="2"/>
    <n v="184.44"/>
    <n v="368.88"/>
    <x v="16"/>
  </r>
  <r>
    <d v="2025-11-30T00:00:00"/>
    <x v="3"/>
    <x v="1"/>
    <s v="Furniture"/>
    <x v="0"/>
    <n v="8"/>
    <n v="386.47"/>
    <n v="3091.76"/>
    <x v="7"/>
  </r>
  <r>
    <d v="2025-10-25T00:00:00"/>
    <x v="1"/>
    <x v="2"/>
    <s v="Electronics"/>
    <x v="6"/>
    <n v="8"/>
    <n v="821.44"/>
    <n v="6571.52"/>
    <x v="0"/>
  </r>
  <r>
    <d v="2024-03-14T00:00:00"/>
    <x v="1"/>
    <x v="7"/>
    <s v="Office Equipment"/>
    <x v="0"/>
    <n v="6"/>
    <n v="307.89999999999998"/>
    <n v="1847.4"/>
    <x v="9"/>
  </r>
  <r>
    <d v="2025-09-15T00:00:00"/>
    <x v="0"/>
    <x v="2"/>
    <s v="Electronics"/>
    <x v="5"/>
    <n v="8"/>
    <n v="868.53"/>
    <n v="6948.24"/>
    <x v="14"/>
  </r>
  <r>
    <d v="2025-10-12T00:00:00"/>
    <x v="0"/>
    <x v="0"/>
    <s v="Accessories"/>
    <x v="2"/>
    <n v="6"/>
    <n v="31.38"/>
    <n v="188.28"/>
    <x v="0"/>
  </r>
  <r>
    <d v="2024-06-24T00:00:00"/>
    <x v="3"/>
    <x v="2"/>
    <s v="Electronics"/>
    <x v="4"/>
    <n v="4"/>
    <n v="924.76"/>
    <n v="3699.04"/>
    <x v="18"/>
  </r>
  <r>
    <d v="2025-06-30T00:00:00"/>
    <x v="0"/>
    <x v="7"/>
    <s v="Office Equipment"/>
    <x v="1"/>
    <n v="8"/>
    <n v="344.78"/>
    <n v="2758.24"/>
    <x v="13"/>
  </r>
  <r>
    <d v="2024-09-07T00:00:00"/>
    <x v="2"/>
    <x v="2"/>
    <s v="Electronics"/>
    <x v="3"/>
    <n v="4"/>
    <n v="895"/>
    <n v="3580"/>
    <x v="4"/>
  </r>
  <r>
    <d v="2024-06-16T00:00:00"/>
    <x v="1"/>
    <x v="2"/>
    <s v="Electronics"/>
    <x v="7"/>
    <n v="7"/>
    <n v="831.53"/>
    <n v="5820.71"/>
    <x v="18"/>
  </r>
  <r>
    <d v="2025-04-18T00:00:00"/>
    <x v="1"/>
    <x v="5"/>
    <s v="Electronics"/>
    <x v="4"/>
    <n v="8"/>
    <n v="260.66000000000003"/>
    <n v="2085.2800000000002"/>
    <x v="17"/>
  </r>
  <r>
    <d v="2025-01-23T00:00:00"/>
    <x v="3"/>
    <x v="4"/>
    <s v="Accessories"/>
    <x v="0"/>
    <n v="5"/>
    <n v="73.650000000000006"/>
    <n v="368.25"/>
    <x v="20"/>
  </r>
  <r>
    <d v="2024-10-03T00:00:00"/>
    <x v="2"/>
    <x v="4"/>
    <s v="Accessories"/>
    <x v="2"/>
    <n v="8"/>
    <n v="70.86"/>
    <n v="566.88"/>
    <x v="3"/>
  </r>
  <r>
    <d v="2025-10-17T00:00:00"/>
    <x v="2"/>
    <x v="3"/>
    <s v="Accessories"/>
    <x v="4"/>
    <n v="7"/>
    <n v="47.44"/>
    <n v="332.08"/>
    <x v="0"/>
  </r>
  <r>
    <d v="2025-12-05T00:00:00"/>
    <x v="0"/>
    <x v="5"/>
    <s v="Electronics"/>
    <x v="6"/>
    <n v="5"/>
    <n v="249.69"/>
    <n v="1248.45"/>
    <x v="16"/>
  </r>
  <r>
    <d v="2025-07-24T00:00:00"/>
    <x v="3"/>
    <x v="7"/>
    <s v="Office Equipment"/>
    <x v="3"/>
    <n v="1"/>
    <n v="321.45"/>
    <n v="321.45"/>
    <x v="8"/>
  </r>
  <r>
    <d v="2024-08-12T00:00:00"/>
    <x v="0"/>
    <x v="4"/>
    <s v="Accessories"/>
    <x v="2"/>
    <n v="3"/>
    <n v="68.989999999999995"/>
    <n v="206.97"/>
    <x v="5"/>
  </r>
  <r>
    <d v="2025-12-02T00:00:00"/>
    <x v="0"/>
    <x v="6"/>
    <s v="Furniture"/>
    <x v="2"/>
    <n v="6"/>
    <n v="162.91999999999999"/>
    <n v="977.52"/>
    <x v="16"/>
  </r>
  <r>
    <d v="2024-11-28T00:00:00"/>
    <x v="2"/>
    <x v="6"/>
    <s v="Furniture"/>
    <x v="0"/>
    <n v="4"/>
    <n v="165.88"/>
    <n v="663.52"/>
    <x v="21"/>
  </r>
  <r>
    <d v="2024-02-27T00:00:00"/>
    <x v="1"/>
    <x v="0"/>
    <s v="Accessories"/>
    <x v="6"/>
    <n v="7"/>
    <n v="27.19"/>
    <n v="190.33"/>
    <x v="12"/>
  </r>
  <r>
    <d v="2024-08-22T00:00:00"/>
    <x v="0"/>
    <x v="4"/>
    <s v="Accessories"/>
    <x v="4"/>
    <n v="7"/>
    <n v="71.91"/>
    <n v="503.37"/>
    <x v="5"/>
  </r>
  <r>
    <d v="2024-02-02T00:00:00"/>
    <x v="2"/>
    <x v="4"/>
    <s v="Accessories"/>
    <x v="6"/>
    <n v="1"/>
    <n v="67.400000000000006"/>
    <n v="67.400000000000006"/>
    <x v="12"/>
  </r>
  <r>
    <d v="2024-11-19T00:00:00"/>
    <x v="1"/>
    <x v="5"/>
    <s v="Electronics"/>
    <x v="2"/>
    <n v="8"/>
    <n v="250.43"/>
    <n v="2003.44"/>
    <x v="21"/>
  </r>
  <r>
    <d v="2025-02-14T00:00:00"/>
    <x v="0"/>
    <x v="2"/>
    <s v="Electronics"/>
    <x v="4"/>
    <n v="3"/>
    <n v="973.36"/>
    <n v="2920.08"/>
    <x v="22"/>
  </r>
  <r>
    <d v="2024-10-01T00:00:00"/>
    <x v="3"/>
    <x v="5"/>
    <s v="Electronics"/>
    <x v="6"/>
    <n v="8"/>
    <n v="237.46"/>
    <n v="1899.68"/>
    <x v="3"/>
  </r>
  <r>
    <d v="2024-03-08T00:00:00"/>
    <x v="3"/>
    <x v="1"/>
    <s v="Furniture"/>
    <x v="0"/>
    <n v="2"/>
    <n v="392.83"/>
    <n v="785.66"/>
    <x v="9"/>
  </r>
  <r>
    <d v="2024-08-04T00:00:00"/>
    <x v="1"/>
    <x v="6"/>
    <s v="Furniture"/>
    <x v="1"/>
    <n v="8"/>
    <n v="189.2"/>
    <n v="1513.6"/>
    <x v="5"/>
  </r>
  <r>
    <d v="2025-08-03T00:00:00"/>
    <x v="2"/>
    <x v="0"/>
    <s v="Accessories"/>
    <x v="1"/>
    <n v="5"/>
    <n v="28.37"/>
    <n v="141.85"/>
    <x v="10"/>
  </r>
  <r>
    <d v="2024-11-18T00:00:00"/>
    <x v="1"/>
    <x v="1"/>
    <s v="Furniture"/>
    <x v="2"/>
    <n v="2"/>
    <n v="366.16"/>
    <n v="732.32"/>
    <x v="21"/>
  </r>
  <r>
    <d v="2024-08-05T00:00:00"/>
    <x v="1"/>
    <x v="3"/>
    <s v="Accessories"/>
    <x v="5"/>
    <n v="5"/>
    <n v="43.11"/>
    <n v="215.55"/>
    <x v="5"/>
  </r>
  <r>
    <d v="2025-11-02T00:00:00"/>
    <x v="3"/>
    <x v="6"/>
    <s v="Furniture"/>
    <x v="6"/>
    <n v="1"/>
    <n v="167.8"/>
    <n v="167.8"/>
    <x v="7"/>
  </r>
  <r>
    <d v="2025-05-26T00:00:00"/>
    <x v="2"/>
    <x v="6"/>
    <s v="Furniture"/>
    <x v="7"/>
    <n v="7"/>
    <n v="195.47"/>
    <n v="1368.29"/>
    <x v="23"/>
  </r>
  <r>
    <d v="2025-02-09T00:00:00"/>
    <x v="2"/>
    <x v="1"/>
    <s v="Furniture"/>
    <x v="4"/>
    <n v="3"/>
    <n v="424.65"/>
    <n v="1273.95"/>
    <x v="22"/>
  </r>
  <r>
    <d v="2025-10-20T00:00:00"/>
    <x v="2"/>
    <x v="5"/>
    <s v="Electronics"/>
    <x v="2"/>
    <n v="7"/>
    <n v="256.67"/>
    <n v="1796.69"/>
    <x v="0"/>
  </r>
  <r>
    <d v="2025-04-14T00:00:00"/>
    <x v="0"/>
    <x v="3"/>
    <s v="Accessories"/>
    <x v="3"/>
    <n v="4"/>
    <n v="48.34"/>
    <n v="193.36"/>
    <x v="17"/>
  </r>
  <r>
    <d v="2024-05-26T00:00:00"/>
    <x v="1"/>
    <x v="4"/>
    <s v="Accessories"/>
    <x v="2"/>
    <n v="5"/>
    <n v="74.25"/>
    <n v="371.25"/>
    <x v="6"/>
  </r>
  <r>
    <d v="2024-09-28T00:00:00"/>
    <x v="1"/>
    <x v="7"/>
    <s v="Office Equipment"/>
    <x v="2"/>
    <n v="3"/>
    <n v="299.94"/>
    <n v="899.82"/>
    <x v="4"/>
  </r>
  <r>
    <d v="2024-05-22T00:00:00"/>
    <x v="0"/>
    <x v="6"/>
    <s v="Furniture"/>
    <x v="3"/>
    <n v="5"/>
    <n v="194.13"/>
    <n v="970.65"/>
    <x v="6"/>
  </r>
  <r>
    <d v="2024-09-09T00:00:00"/>
    <x v="2"/>
    <x v="4"/>
    <s v="Accessories"/>
    <x v="0"/>
    <n v="5"/>
    <n v="70.55"/>
    <n v="352.75"/>
    <x v="4"/>
  </r>
  <r>
    <d v="2025-07-28T00:00:00"/>
    <x v="2"/>
    <x v="4"/>
    <s v="Accessories"/>
    <x v="0"/>
    <n v="2"/>
    <n v="74.3"/>
    <n v="148.6"/>
    <x v="8"/>
  </r>
  <r>
    <d v="2025-07-05T00:00:00"/>
    <x v="3"/>
    <x v="6"/>
    <s v="Furniture"/>
    <x v="5"/>
    <n v="5"/>
    <n v="194.26"/>
    <n v="971.3"/>
    <x v="8"/>
  </r>
  <r>
    <d v="2024-09-26T00:00:00"/>
    <x v="1"/>
    <x v="1"/>
    <s v="Furniture"/>
    <x v="5"/>
    <n v="5"/>
    <n v="385.44"/>
    <n v="1927.2"/>
    <x v="4"/>
  </r>
  <r>
    <d v="2025-08-21T00:00:00"/>
    <x v="2"/>
    <x v="4"/>
    <s v="Accessories"/>
    <x v="6"/>
    <n v="5"/>
    <n v="64.540000000000006"/>
    <n v="322.7"/>
    <x v="10"/>
  </r>
  <r>
    <d v="2025-03-14T00:00:00"/>
    <x v="3"/>
    <x v="0"/>
    <s v="Accessories"/>
    <x v="4"/>
    <n v="4"/>
    <n v="28.37"/>
    <n v="113.48"/>
    <x v="11"/>
  </r>
  <r>
    <d v="2025-08-20T00:00:00"/>
    <x v="3"/>
    <x v="5"/>
    <s v="Electronics"/>
    <x v="2"/>
    <n v="1"/>
    <n v="246.36"/>
    <n v="246.36"/>
    <x v="10"/>
  </r>
  <r>
    <d v="2025-02-12T00:00:00"/>
    <x v="2"/>
    <x v="2"/>
    <s v="Electronics"/>
    <x v="1"/>
    <n v="6"/>
    <n v="957.24"/>
    <n v="5743.44"/>
    <x v="22"/>
  </r>
  <r>
    <d v="2025-01-05T00:00:00"/>
    <x v="0"/>
    <x v="7"/>
    <s v="Office Equipment"/>
    <x v="4"/>
    <n v="6"/>
    <n v="343.09"/>
    <n v="2058.54"/>
    <x v="20"/>
  </r>
  <r>
    <d v="2024-08-12T00:00:00"/>
    <x v="3"/>
    <x v="0"/>
    <s v="Accessories"/>
    <x v="3"/>
    <n v="3"/>
    <n v="27.04"/>
    <n v="81.12"/>
    <x v="5"/>
  </r>
  <r>
    <d v="2024-05-21T00:00:00"/>
    <x v="0"/>
    <x v="3"/>
    <s v="Accessories"/>
    <x v="3"/>
    <n v="5"/>
    <n v="45.1"/>
    <n v="225.5"/>
    <x v="6"/>
  </r>
  <r>
    <d v="2025-06-05T00:00:00"/>
    <x v="0"/>
    <x v="6"/>
    <s v="Furniture"/>
    <x v="1"/>
    <n v="2"/>
    <n v="177.03"/>
    <n v="354.06"/>
    <x v="13"/>
  </r>
  <r>
    <d v="2025-05-20T00:00:00"/>
    <x v="0"/>
    <x v="3"/>
    <s v="Accessories"/>
    <x v="6"/>
    <n v="4"/>
    <n v="42.5"/>
    <n v="170"/>
    <x v="23"/>
  </r>
  <r>
    <d v="2024-04-03T00:00:00"/>
    <x v="1"/>
    <x v="5"/>
    <s v="Electronics"/>
    <x v="3"/>
    <n v="7"/>
    <n v="230.99"/>
    <n v="1616.93"/>
    <x v="1"/>
  </r>
  <r>
    <d v="2024-02-18T00:00:00"/>
    <x v="3"/>
    <x v="5"/>
    <s v="Electronics"/>
    <x v="3"/>
    <n v="8"/>
    <n v="241.88"/>
    <n v="1935.04"/>
    <x v="12"/>
  </r>
  <r>
    <d v="2024-04-22T00:00:00"/>
    <x v="1"/>
    <x v="1"/>
    <s v="Furniture"/>
    <x v="7"/>
    <n v="6"/>
    <n v="435.43"/>
    <n v="2612.58"/>
    <x v="1"/>
  </r>
  <r>
    <d v="2024-06-05T00:00:00"/>
    <x v="3"/>
    <x v="4"/>
    <s v="Accessories"/>
    <x v="7"/>
    <n v="1"/>
    <n v="67.52"/>
    <n v="67.52"/>
    <x v="18"/>
  </r>
  <r>
    <d v="2025-10-04T00:00:00"/>
    <x v="3"/>
    <x v="5"/>
    <s v="Electronics"/>
    <x v="0"/>
    <n v="8"/>
    <n v="250.94"/>
    <n v="2007.52"/>
    <x v="0"/>
  </r>
  <r>
    <d v="2024-06-12T00:00:00"/>
    <x v="1"/>
    <x v="5"/>
    <s v="Electronics"/>
    <x v="5"/>
    <n v="3"/>
    <n v="260.14999999999998"/>
    <n v="780.45"/>
    <x v="18"/>
  </r>
  <r>
    <d v="2025-11-27T00:00:00"/>
    <x v="1"/>
    <x v="7"/>
    <s v="Office Equipment"/>
    <x v="1"/>
    <n v="8"/>
    <n v="311.27"/>
    <n v="2490.16"/>
    <x v="7"/>
  </r>
  <r>
    <d v="2025-03-08T00:00:00"/>
    <x v="0"/>
    <x v="0"/>
    <s v="Accessories"/>
    <x v="2"/>
    <n v="3"/>
    <n v="32.83"/>
    <n v="98.49"/>
    <x v="11"/>
  </r>
  <r>
    <d v="2025-09-02T00:00:00"/>
    <x v="2"/>
    <x v="6"/>
    <s v="Furniture"/>
    <x v="0"/>
    <n v="7"/>
    <n v="196.65"/>
    <n v="1376.55"/>
    <x v="14"/>
  </r>
  <r>
    <d v="2024-03-06T00:00:00"/>
    <x v="0"/>
    <x v="5"/>
    <s v="Electronics"/>
    <x v="3"/>
    <n v="8"/>
    <n v="237.59"/>
    <n v="1900.72"/>
    <x v="9"/>
  </r>
  <r>
    <d v="2025-01-29T00:00:00"/>
    <x v="2"/>
    <x v="2"/>
    <s v="Electronics"/>
    <x v="2"/>
    <n v="6"/>
    <n v="899.5"/>
    <n v="5397"/>
    <x v="20"/>
  </r>
  <r>
    <d v="2025-01-25T00:00:00"/>
    <x v="3"/>
    <x v="4"/>
    <s v="Accessories"/>
    <x v="1"/>
    <n v="4"/>
    <n v="67.209999999999994"/>
    <n v="268.83999999999997"/>
    <x v="20"/>
  </r>
  <r>
    <d v="2025-09-02T00:00:00"/>
    <x v="1"/>
    <x v="6"/>
    <s v="Furniture"/>
    <x v="0"/>
    <n v="6"/>
    <n v="172.25"/>
    <n v="1033.5"/>
    <x v="14"/>
  </r>
  <r>
    <d v="2025-04-24T00:00:00"/>
    <x v="1"/>
    <x v="7"/>
    <s v="Office Equipment"/>
    <x v="2"/>
    <n v="4"/>
    <n v="290.36"/>
    <n v="1161.44"/>
    <x v="17"/>
  </r>
  <r>
    <d v="2025-06-25T00:00:00"/>
    <x v="1"/>
    <x v="5"/>
    <s v="Electronics"/>
    <x v="5"/>
    <n v="4"/>
    <n v="255.48"/>
    <n v="1021.92"/>
    <x v="13"/>
  </r>
  <r>
    <d v="2024-09-14T00:00:00"/>
    <x v="2"/>
    <x v="6"/>
    <s v="Furniture"/>
    <x v="7"/>
    <n v="4"/>
    <n v="180.1"/>
    <n v="720.4"/>
    <x v="4"/>
  </r>
  <r>
    <d v="2025-07-20T00:00:00"/>
    <x v="2"/>
    <x v="5"/>
    <s v="Electronics"/>
    <x v="7"/>
    <n v="4"/>
    <n v="227.57"/>
    <n v="910.28"/>
    <x v="8"/>
  </r>
  <r>
    <d v="2024-01-12T00:00:00"/>
    <x v="1"/>
    <x v="6"/>
    <s v="Furniture"/>
    <x v="3"/>
    <n v="3"/>
    <n v="172.03"/>
    <n v="516.09"/>
    <x v="2"/>
  </r>
  <r>
    <d v="2025-11-27T00:00:00"/>
    <x v="3"/>
    <x v="3"/>
    <s v="Accessories"/>
    <x v="4"/>
    <n v="3"/>
    <n v="48.67"/>
    <n v="146.01"/>
    <x v="7"/>
  </r>
  <r>
    <d v="2024-04-27T00:00:00"/>
    <x v="2"/>
    <x v="5"/>
    <s v="Electronics"/>
    <x v="5"/>
    <n v="1"/>
    <n v="236.98"/>
    <n v="236.98"/>
    <x v="1"/>
  </r>
  <r>
    <d v="2025-11-29T00:00:00"/>
    <x v="3"/>
    <x v="6"/>
    <s v="Furniture"/>
    <x v="5"/>
    <n v="4"/>
    <n v="167.22"/>
    <n v="668.88"/>
    <x v="7"/>
  </r>
  <r>
    <d v="2025-07-03T00:00:00"/>
    <x v="1"/>
    <x v="3"/>
    <s v="Accessories"/>
    <x v="4"/>
    <n v="5"/>
    <n v="44.91"/>
    <n v="224.55"/>
    <x v="8"/>
  </r>
  <r>
    <d v="2024-09-30T00:00:00"/>
    <x v="1"/>
    <x v="1"/>
    <s v="Furniture"/>
    <x v="2"/>
    <n v="2"/>
    <n v="438.85"/>
    <n v="877.7"/>
    <x v="4"/>
  </r>
  <r>
    <d v="2025-10-18T00:00:00"/>
    <x v="1"/>
    <x v="4"/>
    <s v="Accessories"/>
    <x v="2"/>
    <n v="6"/>
    <n v="66.39"/>
    <n v="398.34"/>
    <x v="0"/>
  </r>
  <r>
    <d v="2024-12-14T00:00:00"/>
    <x v="3"/>
    <x v="0"/>
    <s v="Accessories"/>
    <x v="2"/>
    <n v="1"/>
    <n v="31.03"/>
    <n v="31.03"/>
    <x v="19"/>
  </r>
  <r>
    <d v="2024-04-24T00:00:00"/>
    <x v="0"/>
    <x v="2"/>
    <s v="Electronics"/>
    <x v="0"/>
    <n v="1"/>
    <n v="947.09"/>
    <n v="947.09"/>
    <x v="1"/>
  </r>
  <r>
    <d v="2024-10-27T00:00:00"/>
    <x v="0"/>
    <x v="1"/>
    <s v="Furniture"/>
    <x v="2"/>
    <n v="2"/>
    <n v="379.01"/>
    <n v="758.02"/>
    <x v="3"/>
  </r>
  <r>
    <d v="2025-03-21T00:00:00"/>
    <x v="3"/>
    <x v="5"/>
    <s v="Electronics"/>
    <x v="4"/>
    <n v="2"/>
    <n v="261.41000000000003"/>
    <n v="522.82000000000005"/>
    <x v="11"/>
  </r>
  <r>
    <d v="2024-06-10T00:00:00"/>
    <x v="3"/>
    <x v="5"/>
    <s v="Electronics"/>
    <x v="6"/>
    <n v="3"/>
    <n v="243.39"/>
    <n v="730.17"/>
    <x v="18"/>
  </r>
  <r>
    <d v="2025-04-09T00:00:00"/>
    <x v="0"/>
    <x v="1"/>
    <s v="Furniture"/>
    <x v="0"/>
    <n v="5"/>
    <n v="410.58"/>
    <n v="2052.9"/>
    <x v="17"/>
  </r>
  <r>
    <d v="2024-01-04T00:00:00"/>
    <x v="2"/>
    <x v="5"/>
    <s v="Electronics"/>
    <x v="0"/>
    <n v="2"/>
    <n v="256.68"/>
    <n v="513.36"/>
    <x v="2"/>
  </r>
  <r>
    <d v="2024-09-26T00:00:00"/>
    <x v="0"/>
    <x v="4"/>
    <s v="Accessories"/>
    <x v="6"/>
    <n v="4"/>
    <n v="70.5"/>
    <n v="282"/>
    <x v="4"/>
  </r>
  <r>
    <d v="2025-05-27T00:00:00"/>
    <x v="0"/>
    <x v="4"/>
    <s v="Accessories"/>
    <x v="1"/>
    <n v="7"/>
    <n v="64.260000000000005"/>
    <n v="449.82"/>
    <x v="23"/>
  </r>
  <r>
    <d v="2024-07-01T00:00:00"/>
    <x v="3"/>
    <x v="6"/>
    <s v="Furniture"/>
    <x v="3"/>
    <n v="7"/>
    <n v="192.07"/>
    <n v="1344.49"/>
    <x v="15"/>
  </r>
  <r>
    <d v="2025-06-03T00:00:00"/>
    <x v="0"/>
    <x v="6"/>
    <s v="Furniture"/>
    <x v="1"/>
    <n v="3"/>
    <n v="173.55"/>
    <n v="520.65"/>
    <x v="13"/>
  </r>
  <r>
    <d v="2024-04-18T00:00:00"/>
    <x v="1"/>
    <x v="5"/>
    <s v="Electronics"/>
    <x v="0"/>
    <n v="2"/>
    <n v="234.33"/>
    <n v="468.66"/>
    <x v="1"/>
  </r>
  <r>
    <d v="2025-10-02T00:00:00"/>
    <x v="2"/>
    <x v="5"/>
    <s v="Electronics"/>
    <x v="5"/>
    <n v="6"/>
    <n v="227.04"/>
    <n v="1362.24"/>
    <x v="0"/>
  </r>
  <r>
    <d v="2024-11-01T00:00:00"/>
    <x v="0"/>
    <x v="6"/>
    <s v="Furniture"/>
    <x v="6"/>
    <n v="2"/>
    <n v="183.27"/>
    <n v="366.54"/>
    <x v="21"/>
  </r>
  <r>
    <d v="2025-10-16T00:00:00"/>
    <x v="3"/>
    <x v="1"/>
    <s v="Furniture"/>
    <x v="3"/>
    <n v="1"/>
    <n v="414.21"/>
    <n v="414.21"/>
    <x v="0"/>
  </r>
  <r>
    <d v="2025-06-03T00:00:00"/>
    <x v="2"/>
    <x v="6"/>
    <s v="Furniture"/>
    <x v="4"/>
    <n v="2"/>
    <n v="162.6"/>
    <n v="325.2"/>
    <x v="13"/>
  </r>
  <r>
    <d v="2025-09-15T00:00:00"/>
    <x v="1"/>
    <x v="4"/>
    <s v="Accessories"/>
    <x v="6"/>
    <n v="4"/>
    <n v="70.17"/>
    <n v="280.68"/>
    <x v="14"/>
  </r>
  <r>
    <d v="2024-07-22T00:00:00"/>
    <x v="3"/>
    <x v="6"/>
    <s v="Furniture"/>
    <x v="7"/>
    <n v="2"/>
    <n v="170.15"/>
    <n v="340.3"/>
    <x v="15"/>
  </r>
  <r>
    <d v="2024-06-05T00:00:00"/>
    <x v="3"/>
    <x v="1"/>
    <s v="Furniture"/>
    <x v="5"/>
    <n v="1"/>
    <n v="411.61"/>
    <n v="411.61"/>
    <x v="18"/>
  </r>
  <r>
    <d v="2025-01-17T00:00:00"/>
    <x v="3"/>
    <x v="3"/>
    <s v="Accessories"/>
    <x v="6"/>
    <n v="5"/>
    <n v="42.07"/>
    <n v="210.35"/>
    <x v="20"/>
  </r>
  <r>
    <d v="2024-06-14T00:00:00"/>
    <x v="2"/>
    <x v="6"/>
    <s v="Furniture"/>
    <x v="4"/>
    <n v="1"/>
    <n v="186.87"/>
    <n v="186.87"/>
    <x v="18"/>
  </r>
  <r>
    <d v="2025-07-06T00:00:00"/>
    <x v="2"/>
    <x v="1"/>
    <s v="Furniture"/>
    <x v="5"/>
    <n v="2"/>
    <n v="390.94"/>
    <n v="781.88"/>
    <x v="8"/>
  </r>
  <r>
    <d v="2025-06-27T00:00:00"/>
    <x v="0"/>
    <x v="5"/>
    <s v="Electronics"/>
    <x v="0"/>
    <n v="4"/>
    <n v="271.83999999999997"/>
    <n v="1087.3599999999999"/>
    <x v="13"/>
  </r>
  <r>
    <d v="2024-01-01T00:00:00"/>
    <x v="2"/>
    <x v="4"/>
    <s v="Accessories"/>
    <x v="6"/>
    <n v="6"/>
    <n v="64.930000000000007"/>
    <n v="389.58"/>
    <x v="2"/>
  </r>
  <r>
    <d v="2025-09-05T00:00:00"/>
    <x v="1"/>
    <x v="7"/>
    <s v="Office Equipment"/>
    <x v="5"/>
    <n v="6"/>
    <n v="309.83"/>
    <n v="1858.98"/>
    <x v="14"/>
  </r>
  <r>
    <d v="2024-11-27T00:00:00"/>
    <x v="1"/>
    <x v="3"/>
    <s v="Accessories"/>
    <x v="1"/>
    <n v="3"/>
    <n v="41.52"/>
    <n v="124.56"/>
    <x v="21"/>
  </r>
  <r>
    <d v="2025-05-15T00:00:00"/>
    <x v="0"/>
    <x v="7"/>
    <s v="Office Equipment"/>
    <x v="2"/>
    <n v="8"/>
    <n v="347.18"/>
    <n v="2777.44"/>
    <x v="23"/>
  </r>
  <r>
    <d v="2024-01-20T00:00:00"/>
    <x v="3"/>
    <x v="4"/>
    <s v="Accessories"/>
    <x v="7"/>
    <n v="7"/>
    <n v="75.28"/>
    <n v="526.96"/>
    <x v="2"/>
  </r>
  <r>
    <d v="2024-04-24T00:00:00"/>
    <x v="0"/>
    <x v="5"/>
    <s v="Electronics"/>
    <x v="1"/>
    <n v="6"/>
    <n v="237.9"/>
    <n v="1427.4"/>
    <x v="1"/>
  </r>
  <r>
    <d v="2025-01-06T00:00:00"/>
    <x v="3"/>
    <x v="7"/>
    <s v="Office Equipment"/>
    <x v="5"/>
    <n v="8"/>
    <n v="330.24"/>
    <n v="2641.92"/>
    <x v="20"/>
  </r>
  <r>
    <d v="2024-11-10T00:00:00"/>
    <x v="1"/>
    <x v="0"/>
    <s v="Accessories"/>
    <x v="5"/>
    <n v="7"/>
    <n v="31.9"/>
    <n v="223.3"/>
    <x v="21"/>
  </r>
  <r>
    <d v="2024-09-02T00:00:00"/>
    <x v="2"/>
    <x v="0"/>
    <s v="Accessories"/>
    <x v="4"/>
    <n v="5"/>
    <n v="30.33"/>
    <n v="151.65"/>
    <x v="4"/>
  </r>
  <r>
    <d v="2024-02-29T00:00:00"/>
    <x v="3"/>
    <x v="7"/>
    <s v="Office Equipment"/>
    <x v="1"/>
    <n v="5"/>
    <n v="321.89999999999998"/>
    <n v="1609.5"/>
    <x v="12"/>
  </r>
  <r>
    <d v="2024-09-03T00:00:00"/>
    <x v="0"/>
    <x v="2"/>
    <s v="Electronics"/>
    <x v="4"/>
    <n v="8"/>
    <n v="853.53"/>
    <n v="6828.24"/>
    <x v="4"/>
  </r>
  <r>
    <d v="2025-08-03T00:00:00"/>
    <x v="2"/>
    <x v="3"/>
    <s v="Accessories"/>
    <x v="6"/>
    <n v="7"/>
    <n v="41.34"/>
    <n v="289.38"/>
    <x v="10"/>
  </r>
  <r>
    <d v="2024-03-21T00:00:00"/>
    <x v="1"/>
    <x v="5"/>
    <s v="Electronics"/>
    <x v="0"/>
    <n v="7"/>
    <n v="269.86"/>
    <n v="1889.02"/>
    <x v="9"/>
  </r>
  <r>
    <d v="2024-03-28T00:00:00"/>
    <x v="1"/>
    <x v="2"/>
    <s v="Electronics"/>
    <x v="6"/>
    <n v="8"/>
    <n v="972.08"/>
    <n v="7776.64"/>
    <x v="9"/>
  </r>
  <r>
    <d v="2025-05-12T00:00:00"/>
    <x v="0"/>
    <x v="1"/>
    <s v="Furniture"/>
    <x v="3"/>
    <n v="7"/>
    <n v="410.65"/>
    <n v="2874.55"/>
    <x v="23"/>
  </r>
  <r>
    <d v="2024-03-11T00:00:00"/>
    <x v="1"/>
    <x v="5"/>
    <s v="Electronics"/>
    <x v="6"/>
    <n v="7"/>
    <n v="241.95"/>
    <n v="1693.65"/>
    <x v="9"/>
  </r>
  <r>
    <d v="2025-06-29T00:00:00"/>
    <x v="3"/>
    <x v="3"/>
    <s v="Accessories"/>
    <x v="1"/>
    <n v="8"/>
    <n v="43.64"/>
    <n v="349.12"/>
    <x v="13"/>
  </r>
  <r>
    <d v="2024-05-08T00:00:00"/>
    <x v="2"/>
    <x v="1"/>
    <s v="Furniture"/>
    <x v="0"/>
    <n v="2"/>
    <n v="418.08"/>
    <n v="836.16"/>
    <x v="6"/>
  </r>
  <r>
    <d v="2024-05-11T00:00:00"/>
    <x v="0"/>
    <x v="1"/>
    <s v="Furniture"/>
    <x v="3"/>
    <n v="2"/>
    <n v="431.77"/>
    <n v="863.54"/>
    <x v="6"/>
  </r>
  <r>
    <d v="2025-11-06T00:00:00"/>
    <x v="3"/>
    <x v="6"/>
    <s v="Furniture"/>
    <x v="4"/>
    <n v="4"/>
    <n v="193.94"/>
    <n v="775.76"/>
    <x v="7"/>
  </r>
  <r>
    <d v="2025-05-01T00:00:00"/>
    <x v="2"/>
    <x v="5"/>
    <s v="Electronics"/>
    <x v="6"/>
    <n v="2"/>
    <n v="263.99"/>
    <n v="527.98"/>
    <x v="23"/>
  </r>
  <r>
    <d v="2025-07-16T00:00:00"/>
    <x v="2"/>
    <x v="6"/>
    <s v="Furniture"/>
    <x v="1"/>
    <n v="3"/>
    <n v="185.11"/>
    <n v="555.33000000000004"/>
    <x v="8"/>
  </r>
  <r>
    <d v="2024-06-18T00:00:00"/>
    <x v="2"/>
    <x v="3"/>
    <s v="Accessories"/>
    <x v="4"/>
    <n v="5"/>
    <n v="41.26"/>
    <n v="206.3"/>
    <x v="18"/>
  </r>
  <r>
    <d v="2024-09-28T00:00:00"/>
    <x v="2"/>
    <x v="3"/>
    <s v="Accessories"/>
    <x v="2"/>
    <n v="2"/>
    <n v="41.95"/>
    <n v="83.9"/>
    <x v="4"/>
  </r>
  <r>
    <d v="2025-06-24T00:00:00"/>
    <x v="3"/>
    <x v="4"/>
    <s v="Accessories"/>
    <x v="6"/>
    <n v="8"/>
    <n v="75.58"/>
    <n v="604.64"/>
    <x v="13"/>
  </r>
  <r>
    <d v="2025-09-13T00:00:00"/>
    <x v="1"/>
    <x v="3"/>
    <s v="Accessories"/>
    <x v="2"/>
    <n v="8"/>
    <n v="45.96"/>
    <n v="367.68"/>
    <x v="14"/>
  </r>
  <r>
    <d v="2025-03-09T00:00:00"/>
    <x v="3"/>
    <x v="4"/>
    <s v="Accessories"/>
    <x v="5"/>
    <n v="5"/>
    <n v="63.13"/>
    <n v="315.64999999999998"/>
    <x v="11"/>
  </r>
  <r>
    <d v="2024-08-04T00:00:00"/>
    <x v="3"/>
    <x v="6"/>
    <s v="Furniture"/>
    <x v="2"/>
    <n v="2"/>
    <n v="165.65"/>
    <n v="331.3"/>
    <x v="5"/>
  </r>
  <r>
    <d v="2025-07-06T00:00:00"/>
    <x v="1"/>
    <x v="4"/>
    <s v="Accessories"/>
    <x v="6"/>
    <n v="1"/>
    <n v="72.290000000000006"/>
    <n v="72.290000000000006"/>
    <x v="8"/>
  </r>
  <r>
    <d v="2025-12-07T00:00:00"/>
    <x v="1"/>
    <x v="7"/>
    <s v="Office Equipment"/>
    <x v="0"/>
    <n v="2"/>
    <n v="288.32"/>
    <n v="576.64"/>
    <x v="16"/>
  </r>
  <r>
    <d v="2024-07-24T00:00:00"/>
    <x v="0"/>
    <x v="4"/>
    <s v="Accessories"/>
    <x v="7"/>
    <n v="1"/>
    <n v="65.25"/>
    <n v="65.25"/>
    <x v="15"/>
  </r>
  <r>
    <d v="2025-12-31T00:00:00"/>
    <x v="2"/>
    <x v="6"/>
    <s v="Furniture"/>
    <x v="5"/>
    <n v="8"/>
    <n v="181.75"/>
    <n v="1454"/>
    <x v="16"/>
  </r>
  <r>
    <d v="2024-11-15T00:00:00"/>
    <x v="3"/>
    <x v="4"/>
    <s v="Accessories"/>
    <x v="1"/>
    <n v="2"/>
    <n v="72.69"/>
    <n v="145.38"/>
    <x v="21"/>
  </r>
  <r>
    <d v="2025-02-12T00:00:00"/>
    <x v="2"/>
    <x v="3"/>
    <s v="Accessories"/>
    <x v="2"/>
    <n v="1"/>
    <n v="46.37"/>
    <n v="46.37"/>
    <x v="22"/>
  </r>
  <r>
    <d v="2025-11-18T00:00:00"/>
    <x v="3"/>
    <x v="4"/>
    <s v="Accessories"/>
    <x v="6"/>
    <n v="3"/>
    <n v="66.14"/>
    <n v="198.42"/>
    <x v="7"/>
  </r>
  <r>
    <d v="2025-10-27T00:00:00"/>
    <x v="0"/>
    <x v="7"/>
    <s v="Office Equipment"/>
    <x v="6"/>
    <n v="7"/>
    <n v="333.58"/>
    <n v="2335.06"/>
    <x v="0"/>
  </r>
  <r>
    <d v="2025-01-17T00:00:00"/>
    <x v="1"/>
    <x v="2"/>
    <s v="Electronics"/>
    <x v="6"/>
    <n v="6"/>
    <n v="852.7"/>
    <n v="5116.2"/>
    <x v="20"/>
  </r>
  <r>
    <d v="2025-03-24T00:00:00"/>
    <x v="3"/>
    <x v="5"/>
    <s v="Electronics"/>
    <x v="3"/>
    <n v="7"/>
    <n v="241.27"/>
    <n v="1688.89"/>
    <x v="11"/>
  </r>
  <r>
    <d v="2025-06-13T00:00:00"/>
    <x v="1"/>
    <x v="3"/>
    <s v="Accessories"/>
    <x v="4"/>
    <n v="6"/>
    <n v="47.22"/>
    <n v="283.32"/>
    <x v="13"/>
  </r>
  <r>
    <d v="2025-04-07T00:00:00"/>
    <x v="0"/>
    <x v="6"/>
    <s v="Furniture"/>
    <x v="4"/>
    <n v="5"/>
    <n v="185.39"/>
    <n v="926.95"/>
    <x v="17"/>
  </r>
  <r>
    <d v="2024-05-03T00:00:00"/>
    <x v="0"/>
    <x v="5"/>
    <s v="Electronics"/>
    <x v="6"/>
    <n v="5"/>
    <n v="267.45999999999998"/>
    <n v="1337.3"/>
    <x v="6"/>
  </r>
  <r>
    <d v="2024-09-10T00:00:00"/>
    <x v="0"/>
    <x v="3"/>
    <s v="Accessories"/>
    <x v="6"/>
    <n v="2"/>
    <n v="46.42"/>
    <n v="92.84"/>
    <x v="4"/>
  </r>
  <r>
    <d v="2024-08-18T00:00:00"/>
    <x v="3"/>
    <x v="2"/>
    <s v="Electronics"/>
    <x v="4"/>
    <n v="6"/>
    <n v="912.3"/>
    <n v="5473.8"/>
    <x v="5"/>
  </r>
  <r>
    <d v="2024-03-06T00:00:00"/>
    <x v="0"/>
    <x v="0"/>
    <s v="Accessories"/>
    <x v="7"/>
    <n v="6"/>
    <n v="27.56"/>
    <n v="165.36"/>
    <x v="9"/>
  </r>
  <r>
    <d v="2024-12-12T00:00:00"/>
    <x v="2"/>
    <x v="0"/>
    <s v="Accessories"/>
    <x v="1"/>
    <n v="3"/>
    <n v="29.21"/>
    <n v="87.63"/>
    <x v="19"/>
  </r>
  <r>
    <d v="2024-01-22T00:00:00"/>
    <x v="1"/>
    <x v="7"/>
    <s v="Office Equipment"/>
    <x v="6"/>
    <n v="2"/>
    <n v="304.97000000000003"/>
    <n v="609.94000000000005"/>
    <x v="2"/>
  </r>
  <r>
    <d v="2025-08-25T00:00:00"/>
    <x v="2"/>
    <x v="3"/>
    <s v="Accessories"/>
    <x v="4"/>
    <n v="7"/>
    <n v="42.7"/>
    <n v="298.89999999999998"/>
    <x v="10"/>
  </r>
  <r>
    <d v="2025-07-21T00:00:00"/>
    <x v="0"/>
    <x v="3"/>
    <s v="Accessories"/>
    <x v="5"/>
    <n v="3"/>
    <n v="49.26"/>
    <n v="147.78"/>
    <x v="8"/>
  </r>
  <r>
    <d v="2024-08-23T00:00:00"/>
    <x v="2"/>
    <x v="1"/>
    <s v="Furniture"/>
    <x v="2"/>
    <n v="6"/>
    <n v="391.45"/>
    <n v="2348.6999999999998"/>
    <x v="5"/>
  </r>
  <r>
    <d v="2025-08-25T00:00:00"/>
    <x v="2"/>
    <x v="7"/>
    <s v="Office Equipment"/>
    <x v="7"/>
    <n v="8"/>
    <n v="345.09"/>
    <n v="2760.72"/>
    <x v="10"/>
  </r>
  <r>
    <d v="2024-08-13T00:00:00"/>
    <x v="2"/>
    <x v="7"/>
    <s v="Office Equipment"/>
    <x v="6"/>
    <n v="8"/>
    <n v="328.39"/>
    <n v="2627.12"/>
    <x v="5"/>
  </r>
  <r>
    <d v="2024-01-08T00:00:00"/>
    <x v="3"/>
    <x v="4"/>
    <s v="Accessories"/>
    <x v="0"/>
    <n v="8"/>
    <n v="74.13"/>
    <n v="593.04"/>
    <x v="2"/>
  </r>
  <r>
    <d v="2024-03-13T00:00:00"/>
    <x v="2"/>
    <x v="1"/>
    <s v="Furniture"/>
    <x v="4"/>
    <n v="3"/>
    <n v="400.21"/>
    <n v="1200.6300000000001"/>
    <x v="9"/>
  </r>
  <r>
    <d v="2025-12-25T00:00:00"/>
    <x v="0"/>
    <x v="7"/>
    <s v="Office Equipment"/>
    <x v="6"/>
    <n v="1"/>
    <n v="324.92"/>
    <n v="324.92"/>
    <x v="16"/>
  </r>
  <r>
    <d v="2025-10-08T00:00:00"/>
    <x v="3"/>
    <x v="5"/>
    <s v="Electronics"/>
    <x v="1"/>
    <n v="2"/>
    <n v="249.63"/>
    <n v="499.26"/>
    <x v="0"/>
  </r>
  <r>
    <d v="2024-03-01T00:00:00"/>
    <x v="0"/>
    <x v="3"/>
    <s v="Accessories"/>
    <x v="4"/>
    <n v="5"/>
    <n v="42.26"/>
    <n v="211.3"/>
    <x v="9"/>
  </r>
  <r>
    <d v="2024-08-22T00:00:00"/>
    <x v="2"/>
    <x v="1"/>
    <s v="Furniture"/>
    <x v="2"/>
    <n v="2"/>
    <n v="417.8"/>
    <n v="835.6"/>
    <x v="5"/>
  </r>
  <r>
    <d v="2024-03-10T00:00:00"/>
    <x v="0"/>
    <x v="6"/>
    <s v="Furniture"/>
    <x v="5"/>
    <n v="1"/>
    <n v="172.11"/>
    <n v="172.11"/>
    <x v="9"/>
  </r>
  <r>
    <d v="2024-02-02T00:00:00"/>
    <x v="2"/>
    <x v="1"/>
    <s v="Furniture"/>
    <x v="0"/>
    <n v="6"/>
    <n v="361.95"/>
    <n v="2171.6999999999998"/>
    <x v="12"/>
  </r>
  <r>
    <d v="2024-12-04T00:00:00"/>
    <x v="2"/>
    <x v="5"/>
    <s v="Electronics"/>
    <x v="5"/>
    <n v="6"/>
    <n v="257.27"/>
    <n v="1543.62"/>
    <x v="19"/>
  </r>
  <r>
    <d v="2024-03-13T00:00:00"/>
    <x v="3"/>
    <x v="6"/>
    <s v="Furniture"/>
    <x v="4"/>
    <n v="2"/>
    <n v="168.38"/>
    <n v="336.76"/>
    <x v="9"/>
  </r>
  <r>
    <d v="2025-06-10T00:00:00"/>
    <x v="3"/>
    <x v="3"/>
    <s v="Accessories"/>
    <x v="2"/>
    <n v="1"/>
    <n v="48.96"/>
    <n v="48.96"/>
    <x v="13"/>
  </r>
  <r>
    <d v="2024-08-31T00:00:00"/>
    <x v="0"/>
    <x v="3"/>
    <s v="Accessories"/>
    <x v="5"/>
    <n v="8"/>
    <n v="49.09"/>
    <n v="392.72"/>
    <x v="5"/>
  </r>
  <r>
    <d v="2024-10-12T00:00:00"/>
    <x v="3"/>
    <x v="5"/>
    <s v="Electronics"/>
    <x v="7"/>
    <n v="1"/>
    <n v="270.74"/>
    <n v="270.74"/>
    <x v="3"/>
  </r>
  <r>
    <d v="2025-11-16T00:00:00"/>
    <x v="1"/>
    <x v="3"/>
    <s v="Accessories"/>
    <x v="3"/>
    <n v="7"/>
    <n v="43.83"/>
    <n v="306.81"/>
    <x v="7"/>
  </r>
  <r>
    <d v="2025-05-12T00:00:00"/>
    <x v="1"/>
    <x v="0"/>
    <s v="Accessories"/>
    <x v="5"/>
    <n v="5"/>
    <n v="27.09"/>
    <n v="135.44999999999999"/>
    <x v="23"/>
  </r>
  <r>
    <d v="2024-08-07T00:00:00"/>
    <x v="0"/>
    <x v="0"/>
    <s v="Accessories"/>
    <x v="1"/>
    <n v="7"/>
    <n v="32.57"/>
    <n v="227.99"/>
    <x v="5"/>
  </r>
  <r>
    <d v="2025-07-06T00:00:00"/>
    <x v="1"/>
    <x v="5"/>
    <s v="Electronics"/>
    <x v="7"/>
    <n v="8"/>
    <n v="246.41"/>
    <n v="1971.28"/>
    <x v="8"/>
  </r>
  <r>
    <d v="2024-05-15T00:00:00"/>
    <x v="0"/>
    <x v="3"/>
    <s v="Accessories"/>
    <x v="5"/>
    <n v="5"/>
    <n v="49.2"/>
    <n v="246"/>
    <x v="6"/>
  </r>
  <r>
    <d v="2025-08-07T00:00:00"/>
    <x v="0"/>
    <x v="6"/>
    <s v="Furniture"/>
    <x v="4"/>
    <n v="4"/>
    <n v="196.69"/>
    <n v="786.76"/>
    <x v="10"/>
  </r>
  <r>
    <d v="2025-08-13T00:00:00"/>
    <x v="1"/>
    <x v="5"/>
    <s v="Electronics"/>
    <x v="5"/>
    <n v="6"/>
    <n v="267.64999999999998"/>
    <n v="1605.9"/>
    <x v="10"/>
  </r>
  <r>
    <d v="2025-04-29T00:00:00"/>
    <x v="1"/>
    <x v="1"/>
    <s v="Furniture"/>
    <x v="0"/>
    <n v="8"/>
    <n v="383.56"/>
    <n v="3068.48"/>
    <x v="17"/>
  </r>
  <r>
    <d v="2024-09-05T00:00:00"/>
    <x v="1"/>
    <x v="6"/>
    <s v="Furniture"/>
    <x v="6"/>
    <n v="5"/>
    <n v="175.86"/>
    <n v="879.3"/>
    <x v="4"/>
  </r>
  <r>
    <d v="2025-04-29T00:00:00"/>
    <x v="2"/>
    <x v="5"/>
    <s v="Electronics"/>
    <x v="1"/>
    <n v="6"/>
    <n v="267.56"/>
    <n v="1605.36"/>
    <x v="17"/>
  </r>
  <r>
    <d v="2025-02-20T00:00:00"/>
    <x v="1"/>
    <x v="6"/>
    <s v="Furniture"/>
    <x v="6"/>
    <n v="3"/>
    <n v="173.41"/>
    <n v="520.23"/>
    <x v="22"/>
  </r>
  <r>
    <d v="2024-07-13T00:00:00"/>
    <x v="0"/>
    <x v="6"/>
    <s v="Furniture"/>
    <x v="2"/>
    <n v="3"/>
    <n v="168.1"/>
    <n v="504.3"/>
    <x v="15"/>
  </r>
  <r>
    <d v="2024-04-06T00:00:00"/>
    <x v="1"/>
    <x v="3"/>
    <s v="Accessories"/>
    <x v="2"/>
    <n v="3"/>
    <n v="45.51"/>
    <n v="136.53"/>
    <x v="1"/>
  </r>
  <r>
    <d v="2024-04-09T00:00:00"/>
    <x v="2"/>
    <x v="2"/>
    <s v="Electronics"/>
    <x v="5"/>
    <n v="5"/>
    <n v="978.51"/>
    <n v="4892.55"/>
    <x v="1"/>
  </r>
  <r>
    <d v="2025-11-05T00:00:00"/>
    <x v="3"/>
    <x v="0"/>
    <s v="Accessories"/>
    <x v="3"/>
    <n v="1"/>
    <n v="31.18"/>
    <n v="31.18"/>
    <x v="7"/>
  </r>
  <r>
    <d v="2025-03-17T00:00:00"/>
    <x v="3"/>
    <x v="1"/>
    <s v="Furniture"/>
    <x v="5"/>
    <n v="8"/>
    <n v="405.6"/>
    <n v="3244.8"/>
    <x v="11"/>
  </r>
  <r>
    <d v="2024-12-28T00:00:00"/>
    <x v="3"/>
    <x v="0"/>
    <s v="Accessories"/>
    <x v="5"/>
    <n v="5"/>
    <n v="27.58"/>
    <n v="137.9"/>
    <x v="19"/>
  </r>
  <r>
    <d v="2025-03-09T00:00:00"/>
    <x v="1"/>
    <x v="6"/>
    <s v="Furniture"/>
    <x v="6"/>
    <n v="5"/>
    <n v="184.14"/>
    <n v="920.7"/>
    <x v="11"/>
  </r>
  <r>
    <d v="2025-02-24T00:00:00"/>
    <x v="0"/>
    <x v="1"/>
    <s v="Furniture"/>
    <x v="0"/>
    <n v="7"/>
    <n v="439.2"/>
    <n v="3074.4"/>
    <x v="22"/>
  </r>
  <r>
    <d v="2025-04-23T00:00:00"/>
    <x v="0"/>
    <x v="6"/>
    <s v="Furniture"/>
    <x v="2"/>
    <n v="3"/>
    <n v="167.04"/>
    <n v="501.12"/>
    <x v="17"/>
  </r>
  <r>
    <d v="2024-02-25T00:00:00"/>
    <x v="1"/>
    <x v="6"/>
    <s v="Furniture"/>
    <x v="0"/>
    <n v="5"/>
    <n v="180.66"/>
    <n v="903.3"/>
    <x v="12"/>
  </r>
  <r>
    <d v="2025-11-20T00:00:00"/>
    <x v="2"/>
    <x v="5"/>
    <s v="Electronics"/>
    <x v="3"/>
    <n v="7"/>
    <n v="268.87"/>
    <n v="1882.09"/>
    <x v="7"/>
  </r>
  <r>
    <d v="2025-10-31T00:00:00"/>
    <x v="1"/>
    <x v="6"/>
    <s v="Furniture"/>
    <x v="6"/>
    <n v="2"/>
    <n v="188.67"/>
    <n v="377.34"/>
    <x v="0"/>
  </r>
  <r>
    <d v="2025-10-23T00:00:00"/>
    <x v="0"/>
    <x v="7"/>
    <s v="Office Equipment"/>
    <x v="0"/>
    <n v="5"/>
    <n v="332.61"/>
    <n v="1663.05"/>
    <x v="0"/>
  </r>
  <r>
    <d v="2024-04-10T00:00:00"/>
    <x v="3"/>
    <x v="3"/>
    <s v="Accessories"/>
    <x v="2"/>
    <n v="8"/>
    <n v="46.82"/>
    <n v="374.56"/>
    <x v="1"/>
  </r>
  <r>
    <d v="2024-03-03T00:00:00"/>
    <x v="0"/>
    <x v="2"/>
    <s v="Electronics"/>
    <x v="3"/>
    <n v="6"/>
    <n v="874.71"/>
    <n v="5248.26"/>
    <x v="9"/>
  </r>
  <r>
    <d v="2025-02-16T00:00:00"/>
    <x v="0"/>
    <x v="2"/>
    <s v="Electronics"/>
    <x v="6"/>
    <n v="2"/>
    <n v="862.85"/>
    <n v="1725.7"/>
    <x v="22"/>
  </r>
  <r>
    <d v="2024-12-13T00:00:00"/>
    <x v="2"/>
    <x v="3"/>
    <s v="Accessories"/>
    <x v="2"/>
    <n v="1"/>
    <n v="47.78"/>
    <n v="47.78"/>
    <x v="19"/>
  </r>
  <r>
    <d v="2024-04-21T00:00:00"/>
    <x v="1"/>
    <x v="2"/>
    <s v="Electronics"/>
    <x v="7"/>
    <n v="3"/>
    <n v="955.82"/>
    <n v="2867.46"/>
    <x v="1"/>
  </r>
  <r>
    <d v="2024-09-11T00:00:00"/>
    <x v="0"/>
    <x v="6"/>
    <s v="Furniture"/>
    <x v="5"/>
    <n v="6"/>
    <n v="193.21"/>
    <n v="1159.26"/>
    <x v="4"/>
  </r>
  <r>
    <d v="2024-07-15T00:00:00"/>
    <x v="3"/>
    <x v="3"/>
    <s v="Accessories"/>
    <x v="6"/>
    <n v="8"/>
    <n v="48.72"/>
    <n v="389.76"/>
    <x v="15"/>
  </r>
  <r>
    <d v="2024-07-13T00:00:00"/>
    <x v="2"/>
    <x v="4"/>
    <s v="Accessories"/>
    <x v="6"/>
    <n v="2"/>
    <n v="70.16"/>
    <n v="140.32"/>
    <x v="15"/>
  </r>
  <r>
    <d v="2025-07-03T00:00:00"/>
    <x v="3"/>
    <x v="1"/>
    <s v="Furniture"/>
    <x v="7"/>
    <n v="6"/>
    <n v="400.12"/>
    <n v="2400.7199999999998"/>
    <x v="8"/>
  </r>
  <r>
    <d v="2025-04-04T00:00:00"/>
    <x v="2"/>
    <x v="5"/>
    <s v="Electronics"/>
    <x v="2"/>
    <n v="1"/>
    <n v="264.91000000000003"/>
    <n v="264.91000000000003"/>
    <x v="17"/>
  </r>
  <r>
    <d v="2024-05-23T00:00:00"/>
    <x v="3"/>
    <x v="1"/>
    <s v="Furniture"/>
    <x v="3"/>
    <n v="2"/>
    <n v="412"/>
    <n v="824"/>
    <x v="6"/>
  </r>
  <r>
    <d v="2025-03-08T00:00:00"/>
    <x v="3"/>
    <x v="4"/>
    <s v="Accessories"/>
    <x v="2"/>
    <n v="4"/>
    <n v="72.83"/>
    <n v="291.32"/>
    <x v="11"/>
  </r>
  <r>
    <d v="2024-07-06T00:00:00"/>
    <x v="2"/>
    <x v="0"/>
    <s v="Accessories"/>
    <x v="1"/>
    <n v="2"/>
    <n v="31.77"/>
    <n v="63.54"/>
    <x v="15"/>
  </r>
  <r>
    <d v="2024-10-12T00:00:00"/>
    <x v="0"/>
    <x v="4"/>
    <s v="Accessories"/>
    <x v="1"/>
    <n v="3"/>
    <n v="75.459999999999994"/>
    <n v="226.38"/>
    <x v="3"/>
  </r>
  <r>
    <d v="2025-04-18T00:00:00"/>
    <x v="1"/>
    <x v="6"/>
    <s v="Furniture"/>
    <x v="3"/>
    <n v="6"/>
    <n v="174.17"/>
    <n v="1045.02"/>
    <x v="17"/>
  </r>
  <r>
    <d v="2024-09-12T00:00:00"/>
    <x v="2"/>
    <x v="7"/>
    <s v="Office Equipment"/>
    <x v="6"/>
    <n v="3"/>
    <n v="312.04000000000002"/>
    <n v="936.12"/>
    <x v="4"/>
  </r>
  <r>
    <d v="2024-03-18T00:00:00"/>
    <x v="2"/>
    <x v="0"/>
    <s v="Accessories"/>
    <x v="4"/>
    <n v="2"/>
    <n v="27.56"/>
    <n v="55.12"/>
    <x v="9"/>
  </r>
  <r>
    <d v="2025-03-29T00:00:00"/>
    <x v="1"/>
    <x v="0"/>
    <s v="Accessories"/>
    <x v="6"/>
    <n v="8"/>
    <n v="30.47"/>
    <n v="243.76"/>
    <x v="11"/>
  </r>
  <r>
    <d v="2025-07-17T00:00:00"/>
    <x v="2"/>
    <x v="6"/>
    <s v="Furniture"/>
    <x v="1"/>
    <n v="8"/>
    <n v="163.29"/>
    <n v="1306.32"/>
    <x v="8"/>
  </r>
  <r>
    <d v="2024-04-10T00:00:00"/>
    <x v="0"/>
    <x v="5"/>
    <s v="Electronics"/>
    <x v="2"/>
    <n v="5"/>
    <n v="248.28"/>
    <n v="1241.4000000000001"/>
    <x v="1"/>
  </r>
  <r>
    <d v="2024-02-21T00:00:00"/>
    <x v="1"/>
    <x v="1"/>
    <s v="Furniture"/>
    <x v="4"/>
    <n v="7"/>
    <n v="403.41"/>
    <n v="2823.87"/>
    <x v="12"/>
  </r>
  <r>
    <d v="2025-10-29T00:00:00"/>
    <x v="0"/>
    <x v="6"/>
    <s v="Furniture"/>
    <x v="2"/>
    <n v="2"/>
    <n v="172.32"/>
    <n v="344.64"/>
    <x v="0"/>
  </r>
  <r>
    <d v="2025-07-07T00:00:00"/>
    <x v="2"/>
    <x v="6"/>
    <s v="Furniture"/>
    <x v="4"/>
    <n v="3"/>
    <n v="183.27"/>
    <n v="549.80999999999995"/>
    <x v="8"/>
  </r>
  <r>
    <d v="2024-01-16T00:00:00"/>
    <x v="1"/>
    <x v="1"/>
    <s v="Furniture"/>
    <x v="4"/>
    <n v="1"/>
    <n v="362.44"/>
    <n v="362.44"/>
    <x v="2"/>
  </r>
  <r>
    <d v="2024-04-05T00:00:00"/>
    <x v="2"/>
    <x v="7"/>
    <s v="Office Equipment"/>
    <x v="6"/>
    <n v="3"/>
    <n v="290.39"/>
    <n v="871.17"/>
    <x v="1"/>
  </r>
  <r>
    <d v="2024-08-30T00:00:00"/>
    <x v="3"/>
    <x v="0"/>
    <s v="Accessories"/>
    <x v="1"/>
    <n v="6"/>
    <n v="31.94"/>
    <n v="191.64"/>
    <x v="5"/>
  </r>
  <r>
    <d v="2024-06-19T00:00:00"/>
    <x v="3"/>
    <x v="7"/>
    <s v="Office Equipment"/>
    <x v="4"/>
    <n v="4"/>
    <n v="311.05"/>
    <n v="1244.2"/>
    <x v="18"/>
  </r>
  <r>
    <d v="2025-02-20T00:00:00"/>
    <x v="2"/>
    <x v="7"/>
    <s v="Office Equipment"/>
    <x v="4"/>
    <n v="2"/>
    <n v="296.13"/>
    <n v="592.26"/>
    <x v="22"/>
  </r>
  <r>
    <d v="2025-05-12T00:00:00"/>
    <x v="1"/>
    <x v="3"/>
    <s v="Accessories"/>
    <x v="5"/>
    <n v="6"/>
    <n v="45.2"/>
    <n v="271.2"/>
    <x v="23"/>
  </r>
  <r>
    <d v="2025-05-07T00:00:00"/>
    <x v="3"/>
    <x v="5"/>
    <s v="Electronics"/>
    <x v="7"/>
    <n v="1"/>
    <n v="263.5"/>
    <n v="263.5"/>
    <x v="23"/>
  </r>
  <r>
    <d v="2024-08-06T00:00:00"/>
    <x v="0"/>
    <x v="1"/>
    <s v="Furniture"/>
    <x v="3"/>
    <n v="1"/>
    <n v="377.27"/>
    <n v="377.27"/>
    <x v="5"/>
  </r>
  <r>
    <d v="2025-02-14T00:00:00"/>
    <x v="2"/>
    <x v="7"/>
    <s v="Office Equipment"/>
    <x v="0"/>
    <n v="8"/>
    <n v="327.86"/>
    <n v="2622.88"/>
    <x v="22"/>
  </r>
  <r>
    <d v="2024-03-01T00:00:00"/>
    <x v="1"/>
    <x v="7"/>
    <s v="Office Equipment"/>
    <x v="5"/>
    <n v="8"/>
    <n v="293.45999999999998"/>
    <n v="2347.6799999999998"/>
    <x v="9"/>
  </r>
  <r>
    <d v="2024-06-17T00:00:00"/>
    <x v="0"/>
    <x v="3"/>
    <s v="Accessories"/>
    <x v="2"/>
    <n v="8"/>
    <n v="40.97"/>
    <n v="327.76"/>
    <x v="18"/>
  </r>
  <r>
    <d v="2025-01-23T00:00:00"/>
    <x v="3"/>
    <x v="4"/>
    <s v="Accessories"/>
    <x v="4"/>
    <n v="4"/>
    <n v="70.44"/>
    <n v="281.76"/>
    <x v="20"/>
  </r>
  <r>
    <d v="2024-01-03T00:00:00"/>
    <x v="3"/>
    <x v="6"/>
    <s v="Furniture"/>
    <x v="0"/>
    <n v="6"/>
    <n v="181.46"/>
    <n v="1088.76"/>
    <x v="2"/>
  </r>
  <r>
    <d v="2025-02-03T00:00:00"/>
    <x v="1"/>
    <x v="3"/>
    <s v="Accessories"/>
    <x v="6"/>
    <n v="6"/>
    <n v="46.24"/>
    <n v="277.44"/>
    <x v="22"/>
  </r>
  <r>
    <d v="2024-09-28T00:00:00"/>
    <x v="1"/>
    <x v="0"/>
    <s v="Accessories"/>
    <x v="3"/>
    <n v="8"/>
    <n v="31.36"/>
    <n v="250.88"/>
    <x v="4"/>
  </r>
  <r>
    <d v="2025-04-10T00:00:00"/>
    <x v="2"/>
    <x v="4"/>
    <s v="Accessories"/>
    <x v="1"/>
    <n v="4"/>
    <n v="76.66"/>
    <n v="306.64"/>
    <x v="17"/>
  </r>
  <r>
    <d v="2024-10-19T00:00:00"/>
    <x v="0"/>
    <x v="2"/>
    <s v="Electronics"/>
    <x v="0"/>
    <n v="5"/>
    <n v="902.93"/>
    <n v="4514.6499999999996"/>
    <x v="3"/>
  </r>
  <r>
    <d v="2025-03-09T00:00:00"/>
    <x v="3"/>
    <x v="0"/>
    <s v="Accessories"/>
    <x v="6"/>
    <n v="3"/>
    <n v="28.94"/>
    <n v="86.82"/>
    <x v="11"/>
  </r>
  <r>
    <d v="2025-12-14T00:00:00"/>
    <x v="0"/>
    <x v="0"/>
    <s v="Accessories"/>
    <x v="2"/>
    <n v="3"/>
    <n v="31.77"/>
    <n v="95.31"/>
    <x v="16"/>
  </r>
  <r>
    <d v="2025-07-23T00:00:00"/>
    <x v="0"/>
    <x v="4"/>
    <s v="Accessories"/>
    <x v="5"/>
    <n v="5"/>
    <n v="66.790000000000006"/>
    <n v="333.95"/>
    <x v="8"/>
  </r>
  <r>
    <d v="2025-11-08T00:00:00"/>
    <x v="0"/>
    <x v="5"/>
    <s v="Electronics"/>
    <x v="7"/>
    <n v="7"/>
    <n v="246.95"/>
    <n v="1728.65"/>
    <x v="7"/>
  </r>
  <r>
    <d v="2025-05-13T00:00:00"/>
    <x v="1"/>
    <x v="0"/>
    <s v="Accessories"/>
    <x v="5"/>
    <n v="6"/>
    <n v="27.47"/>
    <n v="164.82"/>
    <x v="23"/>
  </r>
  <r>
    <d v="2024-06-07T00:00:00"/>
    <x v="0"/>
    <x v="7"/>
    <s v="Office Equipment"/>
    <x v="3"/>
    <n v="8"/>
    <n v="289.62"/>
    <n v="2316.96"/>
    <x v="18"/>
  </r>
  <r>
    <d v="2024-07-13T00:00:00"/>
    <x v="0"/>
    <x v="2"/>
    <s v="Electronics"/>
    <x v="4"/>
    <n v="2"/>
    <n v="983.28"/>
    <n v="1966.56"/>
    <x v="15"/>
  </r>
  <r>
    <d v="2024-10-30T00:00:00"/>
    <x v="0"/>
    <x v="7"/>
    <s v="Office Equipment"/>
    <x v="6"/>
    <n v="6"/>
    <n v="341.5"/>
    <n v="2049"/>
    <x v="3"/>
  </r>
  <r>
    <d v="2024-08-10T00:00:00"/>
    <x v="1"/>
    <x v="2"/>
    <s v="Electronics"/>
    <x v="7"/>
    <n v="7"/>
    <n v="935.28"/>
    <n v="6546.96"/>
    <x v="5"/>
  </r>
  <r>
    <d v="2024-02-29T00:00:00"/>
    <x v="1"/>
    <x v="6"/>
    <s v="Furniture"/>
    <x v="0"/>
    <n v="5"/>
    <n v="176.72"/>
    <n v="883.6"/>
    <x v="12"/>
  </r>
  <r>
    <d v="2025-08-16T00:00:00"/>
    <x v="1"/>
    <x v="4"/>
    <s v="Accessories"/>
    <x v="4"/>
    <n v="5"/>
    <n v="65.430000000000007"/>
    <n v="327.14999999999998"/>
    <x v="10"/>
  </r>
  <r>
    <d v="2025-07-09T00:00:00"/>
    <x v="3"/>
    <x v="5"/>
    <s v="Electronics"/>
    <x v="6"/>
    <n v="7"/>
    <n v="232.82"/>
    <n v="1629.74"/>
    <x v="8"/>
  </r>
  <r>
    <d v="2024-03-03T00:00:00"/>
    <x v="2"/>
    <x v="6"/>
    <s v="Furniture"/>
    <x v="0"/>
    <n v="3"/>
    <n v="171.01"/>
    <n v="513.03"/>
    <x v="9"/>
  </r>
  <r>
    <d v="2024-11-17T00:00:00"/>
    <x v="1"/>
    <x v="2"/>
    <s v="Electronics"/>
    <x v="4"/>
    <n v="1"/>
    <n v="908.86"/>
    <n v="908.86"/>
    <x v="21"/>
  </r>
  <r>
    <d v="2024-02-28T00:00:00"/>
    <x v="0"/>
    <x v="6"/>
    <s v="Furniture"/>
    <x v="4"/>
    <n v="8"/>
    <n v="187.73"/>
    <n v="1501.84"/>
    <x v="12"/>
  </r>
  <r>
    <d v="2024-02-21T00:00:00"/>
    <x v="3"/>
    <x v="3"/>
    <s v="Accessories"/>
    <x v="4"/>
    <n v="6"/>
    <n v="46.44"/>
    <n v="278.64"/>
    <x v="12"/>
  </r>
  <r>
    <d v="2025-08-21T00:00:00"/>
    <x v="3"/>
    <x v="1"/>
    <s v="Furniture"/>
    <x v="2"/>
    <n v="5"/>
    <n v="382.39"/>
    <n v="1911.95"/>
    <x v="10"/>
  </r>
  <r>
    <d v="2025-05-03T00:00:00"/>
    <x v="1"/>
    <x v="7"/>
    <s v="Office Equipment"/>
    <x v="6"/>
    <n v="8"/>
    <n v="349.11"/>
    <n v="2792.88"/>
    <x v="23"/>
  </r>
  <r>
    <d v="2025-05-29T00:00:00"/>
    <x v="0"/>
    <x v="6"/>
    <s v="Furniture"/>
    <x v="3"/>
    <n v="2"/>
    <n v="188.56"/>
    <n v="377.12"/>
    <x v="23"/>
  </r>
  <r>
    <d v="2025-06-27T00:00:00"/>
    <x v="3"/>
    <x v="2"/>
    <s v="Electronics"/>
    <x v="7"/>
    <n v="8"/>
    <n v="909.78"/>
    <n v="7278.24"/>
    <x v="13"/>
  </r>
  <r>
    <d v="2024-06-10T00:00:00"/>
    <x v="2"/>
    <x v="2"/>
    <s v="Electronics"/>
    <x v="0"/>
    <n v="8"/>
    <n v="920.11"/>
    <n v="7360.88"/>
    <x v="18"/>
  </r>
  <r>
    <d v="2024-02-28T00:00:00"/>
    <x v="1"/>
    <x v="3"/>
    <s v="Accessories"/>
    <x v="1"/>
    <n v="4"/>
    <n v="44.28"/>
    <n v="177.12"/>
    <x v="12"/>
  </r>
  <r>
    <d v="2025-06-04T00:00:00"/>
    <x v="0"/>
    <x v="0"/>
    <s v="Accessories"/>
    <x v="6"/>
    <n v="1"/>
    <n v="28.49"/>
    <n v="28.49"/>
    <x v="13"/>
  </r>
  <r>
    <d v="2024-03-23T00:00:00"/>
    <x v="0"/>
    <x v="1"/>
    <s v="Furniture"/>
    <x v="7"/>
    <n v="3"/>
    <n v="388.48"/>
    <n v="1165.44"/>
    <x v="9"/>
  </r>
  <r>
    <d v="2024-07-09T00:00:00"/>
    <x v="1"/>
    <x v="1"/>
    <s v="Furniture"/>
    <x v="4"/>
    <n v="8"/>
    <n v="420.63"/>
    <n v="3365.04"/>
    <x v="15"/>
  </r>
  <r>
    <d v="2024-03-11T00:00:00"/>
    <x v="0"/>
    <x v="0"/>
    <s v="Accessories"/>
    <x v="0"/>
    <n v="6"/>
    <n v="27.09"/>
    <n v="162.54"/>
    <x v="9"/>
  </r>
  <r>
    <d v="2025-09-01T00:00:00"/>
    <x v="0"/>
    <x v="6"/>
    <s v="Furniture"/>
    <x v="6"/>
    <n v="3"/>
    <n v="166.18"/>
    <n v="498.54"/>
    <x v="14"/>
  </r>
  <r>
    <d v="2024-03-10T00:00:00"/>
    <x v="0"/>
    <x v="6"/>
    <s v="Furniture"/>
    <x v="7"/>
    <n v="5"/>
    <n v="163.66"/>
    <n v="818.3"/>
    <x v="9"/>
  </r>
  <r>
    <d v="2025-11-22T00:00:00"/>
    <x v="3"/>
    <x v="0"/>
    <s v="Accessories"/>
    <x v="7"/>
    <n v="5"/>
    <n v="27.24"/>
    <n v="136.19999999999999"/>
    <x v="7"/>
  </r>
  <r>
    <d v="2024-08-28T00:00:00"/>
    <x v="2"/>
    <x v="7"/>
    <s v="Office Equipment"/>
    <x v="2"/>
    <n v="5"/>
    <n v="342.75"/>
    <n v="1713.75"/>
    <x v="5"/>
  </r>
  <r>
    <d v="2025-02-17T00:00:00"/>
    <x v="3"/>
    <x v="6"/>
    <s v="Furniture"/>
    <x v="3"/>
    <n v="8"/>
    <n v="187.33"/>
    <n v="1498.64"/>
    <x v="22"/>
  </r>
  <r>
    <d v="2024-05-02T00:00:00"/>
    <x v="0"/>
    <x v="7"/>
    <s v="Office Equipment"/>
    <x v="0"/>
    <n v="2"/>
    <n v="318.35000000000002"/>
    <n v="636.70000000000005"/>
    <x v="6"/>
  </r>
  <r>
    <d v="2025-08-06T00:00:00"/>
    <x v="3"/>
    <x v="6"/>
    <s v="Furniture"/>
    <x v="5"/>
    <n v="3"/>
    <n v="165.52"/>
    <n v="496.56"/>
    <x v="10"/>
  </r>
  <r>
    <d v="2024-09-09T00:00:00"/>
    <x v="3"/>
    <x v="7"/>
    <s v="Office Equipment"/>
    <x v="2"/>
    <n v="2"/>
    <n v="319.45999999999998"/>
    <n v="638.91999999999996"/>
    <x v="4"/>
  </r>
  <r>
    <d v="2025-08-15T00:00:00"/>
    <x v="2"/>
    <x v="7"/>
    <s v="Office Equipment"/>
    <x v="7"/>
    <n v="8"/>
    <n v="318.3"/>
    <n v="2546.4"/>
    <x v="10"/>
  </r>
  <r>
    <d v="2025-08-31T00:00:00"/>
    <x v="2"/>
    <x v="7"/>
    <s v="Office Equipment"/>
    <x v="1"/>
    <n v="5"/>
    <n v="299.08"/>
    <n v="1495.4"/>
    <x v="10"/>
  </r>
  <r>
    <d v="2024-02-10T00:00:00"/>
    <x v="1"/>
    <x v="0"/>
    <s v="Accessories"/>
    <x v="7"/>
    <n v="4"/>
    <n v="29.6"/>
    <n v="118.4"/>
    <x v="12"/>
  </r>
  <r>
    <d v="2025-09-26T00:00:00"/>
    <x v="1"/>
    <x v="0"/>
    <s v="Accessories"/>
    <x v="0"/>
    <n v="1"/>
    <n v="29.39"/>
    <n v="29.39"/>
    <x v="14"/>
  </r>
  <r>
    <d v="2024-03-24T00:00:00"/>
    <x v="1"/>
    <x v="6"/>
    <s v="Furniture"/>
    <x v="4"/>
    <n v="8"/>
    <n v="184.17"/>
    <n v="1473.36"/>
    <x v="9"/>
  </r>
  <r>
    <d v="2025-03-05T00:00:00"/>
    <x v="0"/>
    <x v="2"/>
    <s v="Electronics"/>
    <x v="2"/>
    <n v="3"/>
    <n v="924.32"/>
    <n v="2772.96"/>
    <x v="11"/>
  </r>
  <r>
    <d v="2025-11-04T00:00:00"/>
    <x v="3"/>
    <x v="4"/>
    <s v="Accessories"/>
    <x v="6"/>
    <n v="4"/>
    <n v="63.63"/>
    <n v="254.52"/>
    <x v="7"/>
  </r>
  <r>
    <d v="2025-08-20T00:00:00"/>
    <x v="1"/>
    <x v="7"/>
    <s v="Office Equipment"/>
    <x v="7"/>
    <n v="1"/>
    <n v="311.98"/>
    <n v="311.98"/>
    <x v="10"/>
  </r>
  <r>
    <d v="2025-08-01T00:00:00"/>
    <x v="0"/>
    <x v="2"/>
    <s v="Electronics"/>
    <x v="4"/>
    <n v="3"/>
    <n v="922.65"/>
    <n v="2767.95"/>
    <x v="10"/>
  </r>
  <r>
    <d v="2025-06-19T00:00:00"/>
    <x v="0"/>
    <x v="2"/>
    <s v="Electronics"/>
    <x v="4"/>
    <n v="7"/>
    <n v="900.56"/>
    <n v="6303.92"/>
    <x v="13"/>
  </r>
  <r>
    <d v="2024-11-19T00:00:00"/>
    <x v="1"/>
    <x v="7"/>
    <s v="Office Equipment"/>
    <x v="3"/>
    <n v="1"/>
    <n v="342.82"/>
    <n v="342.82"/>
    <x v="21"/>
  </r>
  <r>
    <d v="2024-09-24T00:00:00"/>
    <x v="3"/>
    <x v="5"/>
    <s v="Electronics"/>
    <x v="2"/>
    <n v="6"/>
    <n v="257.93"/>
    <n v="1547.58"/>
    <x v="4"/>
  </r>
  <r>
    <d v="2024-07-28T00:00:00"/>
    <x v="0"/>
    <x v="4"/>
    <s v="Accessories"/>
    <x v="3"/>
    <n v="3"/>
    <n v="65.28"/>
    <n v="195.84"/>
    <x v="15"/>
  </r>
  <r>
    <d v="2025-11-16T00:00:00"/>
    <x v="3"/>
    <x v="0"/>
    <s v="Accessories"/>
    <x v="4"/>
    <n v="2"/>
    <n v="27.42"/>
    <n v="54.84"/>
    <x v="7"/>
  </r>
  <r>
    <d v="2024-11-17T00:00:00"/>
    <x v="2"/>
    <x v="4"/>
    <s v="Accessories"/>
    <x v="5"/>
    <n v="5"/>
    <n v="71.989999999999995"/>
    <n v="359.95"/>
    <x v="21"/>
  </r>
  <r>
    <d v="2024-09-01T00:00:00"/>
    <x v="2"/>
    <x v="6"/>
    <s v="Furniture"/>
    <x v="4"/>
    <n v="5"/>
    <n v="162.94999999999999"/>
    <n v="814.75"/>
    <x v="4"/>
  </r>
  <r>
    <d v="2024-09-28T00:00:00"/>
    <x v="3"/>
    <x v="1"/>
    <s v="Furniture"/>
    <x v="1"/>
    <n v="7"/>
    <n v="406.86"/>
    <n v="2848.02"/>
    <x v="4"/>
  </r>
  <r>
    <d v="2025-02-09T00:00:00"/>
    <x v="2"/>
    <x v="1"/>
    <s v="Furniture"/>
    <x v="4"/>
    <n v="2"/>
    <n v="435.22"/>
    <n v="870.44"/>
    <x v="22"/>
  </r>
  <r>
    <d v="2024-05-14T00:00:00"/>
    <x v="2"/>
    <x v="4"/>
    <s v="Accessories"/>
    <x v="5"/>
    <n v="6"/>
    <n v="71.06"/>
    <n v="426.36"/>
    <x v="6"/>
  </r>
  <r>
    <d v="2025-11-18T00:00:00"/>
    <x v="2"/>
    <x v="7"/>
    <s v="Office Equipment"/>
    <x v="2"/>
    <n v="7"/>
    <n v="312.83999999999997"/>
    <n v="2189.88"/>
    <x v="7"/>
  </r>
  <r>
    <d v="2025-10-22T00:00:00"/>
    <x v="3"/>
    <x v="7"/>
    <s v="Office Equipment"/>
    <x v="5"/>
    <n v="6"/>
    <n v="329.17"/>
    <n v="1975.02"/>
    <x v="0"/>
  </r>
  <r>
    <d v="2024-11-03T00:00:00"/>
    <x v="2"/>
    <x v="7"/>
    <s v="Office Equipment"/>
    <x v="5"/>
    <n v="6"/>
    <n v="317.33"/>
    <n v="1903.98"/>
    <x v="21"/>
  </r>
  <r>
    <d v="2025-04-13T00:00:00"/>
    <x v="3"/>
    <x v="5"/>
    <s v="Electronics"/>
    <x v="4"/>
    <n v="8"/>
    <n v="252.28"/>
    <n v="2018.24"/>
    <x v="17"/>
  </r>
  <r>
    <d v="2024-11-19T00:00:00"/>
    <x v="1"/>
    <x v="1"/>
    <s v="Furniture"/>
    <x v="3"/>
    <n v="5"/>
    <n v="435.32"/>
    <n v="2176.6"/>
    <x v="21"/>
  </r>
  <r>
    <d v="2024-03-15T00:00:00"/>
    <x v="2"/>
    <x v="6"/>
    <s v="Furniture"/>
    <x v="4"/>
    <n v="4"/>
    <n v="175.9"/>
    <n v="703.6"/>
    <x v="9"/>
  </r>
  <r>
    <d v="2024-01-10T00:00:00"/>
    <x v="0"/>
    <x v="4"/>
    <s v="Accessories"/>
    <x v="6"/>
    <n v="3"/>
    <n v="76.459999999999994"/>
    <n v="229.38"/>
    <x v="2"/>
  </r>
  <r>
    <d v="2025-04-14T00:00:00"/>
    <x v="2"/>
    <x v="1"/>
    <s v="Furniture"/>
    <x v="7"/>
    <n v="8"/>
    <n v="432.43"/>
    <n v="3459.44"/>
    <x v="17"/>
  </r>
  <r>
    <d v="2025-09-28T00:00:00"/>
    <x v="3"/>
    <x v="5"/>
    <s v="Electronics"/>
    <x v="1"/>
    <n v="8"/>
    <n v="234.79"/>
    <n v="1878.32"/>
    <x v="14"/>
  </r>
  <r>
    <d v="2025-07-30T00:00:00"/>
    <x v="2"/>
    <x v="5"/>
    <s v="Electronics"/>
    <x v="4"/>
    <n v="1"/>
    <n v="228.47"/>
    <n v="228.47"/>
    <x v="8"/>
  </r>
  <r>
    <d v="2024-04-12T00:00:00"/>
    <x v="0"/>
    <x v="3"/>
    <s v="Accessories"/>
    <x v="1"/>
    <n v="6"/>
    <n v="41.41"/>
    <n v="248.46"/>
    <x v="1"/>
  </r>
  <r>
    <d v="2024-03-16T00:00:00"/>
    <x v="1"/>
    <x v="0"/>
    <s v="Accessories"/>
    <x v="2"/>
    <n v="8"/>
    <n v="27.11"/>
    <n v="216.88"/>
    <x v="9"/>
  </r>
  <r>
    <d v="2025-07-04T00:00:00"/>
    <x v="2"/>
    <x v="2"/>
    <s v="Electronics"/>
    <x v="0"/>
    <n v="8"/>
    <n v="827"/>
    <n v="6616"/>
    <x v="8"/>
  </r>
  <r>
    <d v="2024-08-06T00:00:00"/>
    <x v="0"/>
    <x v="4"/>
    <s v="Accessories"/>
    <x v="3"/>
    <n v="1"/>
    <n v="72.56"/>
    <n v="72.56"/>
    <x v="5"/>
  </r>
  <r>
    <d v="2025-06-02T00:00:00"/>
    <x v="3"/>
    <x v="2"/>
    <s v="Electronics"/>
    <x v="5"/>
    <n v="7"/>
    <n v="822.81"/>
    <n v="5759.67"/>
    <x v="13"/>
  </r>
  <r>
    <d v="2024-09-28T00:00:00"/>
    <x v="1"/>
    <x v="0"/>
    <s v="Accessories"/>
    <x v="0"/>
    <n v="2"/>
    <n v="28.91"/>
    <n v="57.82"/>
    <x v="4"/>
  </r>
  <r>
    <d v="2024-05-15T00:00:00"/>
    <x v="1"/>
    <x v="6"/>
    <s v="Furniture"/>
    <x v="1"/>
    <n v="2"/>
    <n v="192.42"/>
    <n v="384.84"/>
    <x v="6"/>
  </r>
  <r>
    <d v="2024-12-23T00:00:00"/>
    <x v="3"/>
    <x v="4"/>
    <s v="Accessories"/>
    <x v="0"/>
    <n v="1"/>
    <n v="63.33"/>
    <n v="63.33"/>
    <x v="19"/>
  </r>
  <r>
    <d v="2024-03-11T00:00:00"/>
    <x v="0"/>
    <x v="3"/>
    <s v="Accessories"/>
    <x v="6"/>
    <n v="3"/>
    <n v="47.83"/>
    <n v="143.49"/>
    <x v="9"/>
  </r>
  <r>
    <d v="2024-09-07T00:00:00"/>
    <x v="0"/>
    <x v="1"/>
    <s v="Furniture"/>
    <x v="0"/>
    <n v="8"/>
    <n v="382.55"/>
    <n v="3060.4"/>
    <x v="4"/>
  </r>
  <r>
    <d v="2025-01-13T00:00:00"/>
    <x v="3"/>
    <x v="5"/>
    <s v="Electronics"/>
    <x v="1"/>
    <n v="3"/>
    <n v="230.91"/>
    <n v="692.73"/>
    <x v="20"/>
  </r>
  <r>
    <d v="2024-10-18T00:00:00"/>
    <x v="2"/>
    <x v="3"/>
    <s v="Accessories"/>
    <x v="7"/>
    <n v="7"/>
    <n v="46.77"/>
    <n v="327.39"/>
    <x v="3"/>
  </r>
  <r>
    <d v="2024-06-10T00:00:00"/>
    <x v="3"/>
    <x v="2"/>
    <s v="Electronics"/>
    <x v="2"/>
    <n v="1"/>
    <n v="923.21"/>
    <n v="923.21"/>
    <x v="18"/>
  </r>
  <r>
    <d v="2025-03-24T00:00:00"/>
    <x v="2"/>
    <x v="1"/>
    <s v="Furniture"/>
    <x v="7"/>
    <n v="7"/>
    <n v="430.2"/>
    <n v="3011.4"/>
    <x v="11"/>
  </r>
  <r>
    <d v="2025-07-10T00:00:00"/>
    <x v="2"/>
    <x v="4"/>
    <s v="Accessories"/>
    <x v="3"/>
    <n v="6"/>
    <n v="73.290000000000006"/>
    <n v="439.74"/>
    <x v="8"/>
  </r>
  <r>
    <d v="2025-12-21T00:00:00"/>
    <x v="1"/>
    <x v="0"/>
    <s v="Accessories"/>
    <x v="0"/>
    <n v="2"/>
    <n v="31.82"/>
    <n v="63.64"/>
    <x v="16"/>
  </r>
  <r>
    <d v="2024-11-05T00:00:00"/>
    <x v="2"/>
    <x v="2"/>
    <s v="Electronics"/>
    <x v="1"/>
    <n v="4"/>
    <n v="860.77"/>
    <n v="3443.08"/>
    <x v="21"/>
  </r>
  <r>
    <d v="2025-09-18T00:00:00"/>
    <x v="0"/>
    <x v="5"/>
    <s v="Electronics"/>
    <x v="5"/>
    <n v="1"/>
    <n v="233.87"/>
    <n v="233.87"/>
    <x v="14"/>
  </r>
  <r>
    <d v="2025-10-31T00:00:00"/>
    <x v="0"/>
    <x v="0"/>
    <s v="Accessories"/>
    <x v="2"/>
    <n v="1"/>
    <n v="31.5"/>
    <n v="31.5"/>
    <x v="0"/>
  </r>
  <r>
    <d v="2025-06-25T00:00:00"/>
    <x v="1"/>
    <x v="0"/>
    <s v="Accessories"/>
    <x v="4"/>
    <n v="4"/>
    <n v="31.84"/>
    <n v="127.36"/>
    <x v="13"/>
  </r>
  <r>
    <d v="2024-01-09T00:00:00"/>
    <x v="3"/>
    <x v="7"/>
    <s v="Office Equipment"/>
    <x v="6"/>
    <n v="4"/>
    <n v="351.39"/>
    <n v="1405.56"/>
    <x v="2"/>
  </r>
  <r>
    <d v="2025-11-14T00:00:00"/>
    <x v="2"/>
    <x v="0"/>
    <s v="Accessories"/>
    <x v="7"/>
    <n v="5"/>
    <n v="29.48"/>
    <n v="147.4"/>
    <x v="7"/>
  </r>
  <r>
    <d v="2025-07-21T00:00:00"/>
    <x v="3"/>
    <x v="1"/>
    <s v="Furniture"/>
    <x v="5"/>
    <n v="5"/>
    <n v="389.76"/>
    <n v="1948.8"/>
    <x v="8"/>
  </r>
  <r>
    <d v="2024-11-02T00:00:00"/>
    <x v="0"/>
    <x v="3"/>
    <s v="Accessories"/>
    <x v="5"/>
    <n v="7"/>
    <n v="47.49"/>
    <n v="332.43"/>
    <x v="21"/>
  </r>
  <r>
    <d v="2025-11-10T00:00:00"/>
    <x v="3"/>
    <x v="6"/>
    <s v="Furniture"/>
    <x v="0"/>
    <n v="7"/>
    <n v="174.27"/>
    <n v="1219.8900000000001"/>
    <x v="7"/>
  </r>
  <r>
    <d v="2024-04-16T00:00:00"/>
    <x v="3"/>
    <x v="1"/>
    <s v="Furniture"/>
    <x v="0"/>
    <n v="3"/>
    <n v="434.46"/>
    <n v="1303.3800000000001"/>
    <x v="1"/>
  </r>
  <r>
    <d v="2024-05-17T00:00:00"/>
    <x v="2"/>
    <x v="3"/>
    <s v="Accessories"/>
    <x v="7"/>
    <n v="8"/>
    <n v="48.23"/>
    <n v="385.84"/>
    <x v="6"/>
  </r>
  <r>
    <d v="2024-09-27T00:00:00"/>
    <x v="0"/>
    <x v="7"/>
    <s v="Office Equipment"/>
    <x v="5"/>
    <n v="3"/>
    <n v="315.45999999999998"/>
    <n v="946.38"/>
    <x v="4"/>
  </r>
  <r>
    <d v="2024-04-28T00:00:00"/>
    <x v="2"/>
    <x v="1"/>
    <s v="Furniture"/>
    <x v="0"/>
    <n v="7"/>
    <n v="420.07"/>
    <n v="2940.49"/>
    <x v="1"/>
  </r>
  <r>
    <d v="2024-04-19T00:00:00"/>
    <x v="2"/>
    <x v="0"/>
    <s v="Accessories"/>
    <x v="6"/>
    <n v="5"/>
    <n v="31.53"/>
    <n v="157.65"/>
    <x v="1"/>
  </r>
  <r>
    <d v="2025-07-20T00:00:00"/>
    <x v="3"/>
    <x v="5"/>
    <s v="Electronics"/>
    <x v="1"/>
    <n v="8"/>
    <n v="230.16"/>
    <n v="1841.28"/>
    <x v="8"/>
  </r>
  <r>
    <d v="2024-06-08T00:00:00"/>
    <x v="3"/>
    <x v="0"/>
    <s v="Accessories"/>
    <x v="0"/>
    <n v="1"/>
    <n v="32.42"/>
    <n v="32.42"/>
    <x v="18"/>
  </r>
  <r>
    <d v="2024-10-05T00:00:00"/>
    <x v="2"/>
    <x v="2"/>
    <s v="Electronics"/>
    <x v="7"/>
    <n v="2"/>
    <n v="900.95"/>
    <n v="1801.9"/>
    <x v="3"/>
  </r>
  <r>
    <d v="2024-10-15T00:00:00"/>
    <x v="3"/>
    <x v="4"/>
    <s v="Accessories"/>
    <x v="3"/>
    <n v="4"/>
    <n v="74.569999999999993"/>
    <n v="298.27999999999997"/>
    <x v="3"/>
  </r>
  <r>
    <d v="2025-09-11T00:00:00"/>
    <x v="2"/>
    <x v="2"/>
    <s v="Electronics"/>
    <x v="1"/>
    <n v="4"/>
    <n v="867.61"/>
    <n v="3470.44"/>
    <x v="14"/>
  </r>
  <r>
    <d v="2024-08-03T00:00:00"/>
    <x v="2"/>
    <x v="4"/>
    <s v="Accessories"/>
    <x v="0"/>
    <n v="4"/>
    <n v="75.540000000000006"/>
    <n v="302.16000000000003"/>
    <x v="5"/>
  </r>
  <r>
    <d v="2024-12-17T00:00:00"/>
    <x v="3"/>
    <x v="0"/>
    <s v="Accessories"/>
    <x v="0"/>
    <n v="6"/>
    <n v="29.34"/>
    <n v="176.04"/>
    <x v="19"/>
  </r>
  <r>
    <d v="2024-07-27T00:00:00"/>
    <x v="3"/>
    <x v="4"/>
    <s v="Accessories"/>
    <x v="3"/>
    <n v="6"/>
    <n v="63.15"/>
    <n v="378.9"/>
    <x v="15"/>
  </r>
  <r>
    <d v="2025-12-04T00:00:00"/>
    <x v="0"/>
    <x v="6"/>
    <s v="Furniture"/>
    <x v="1"/>
    <n v="8"/>
    <n v="194.59"/>
    <n v="1556.72"/>
    <x v="16"/>
  </r>
  <r>
    <d v="2025-10-11T00:00:00"/>
    <x v="2"/>
    <x v="4"/>
    <s v="Accessories"/>
    <x v="6"/>
    <n v="6"/>
    <n v="64.28"/>
    <n v="385.68"/>
    <x v="0"/>
  </r>
  <r>
    <d v="2024-09-27T00:00:00"/>
    <x v="1"/>
    <x v="6"/>
    <s v="Furniture"/>
    <x v="7"/>
    <n v="7"/>
    <n v="173.5"/>
    <n v="1214.5"/>
    <x v="4"/>
  </r>
  <r>
    <d v="2025-06-01T00:00:00"/>
    <x v="3"/>
    <x v="3"/>
    <s v="Accessories"/>
    <x v="0"/>
    <n v="1"/>
    <n v="49.05"/>
    <n v="49.05"/>
    <x v="13"/>
  </r>
  <r>
    <d v="2025-05-15T00:00:00"/>
    <x v="2"/>
    <x v="7"/>
    <s v="Office Equipment"/>
    <x v="6"/>
    <n v="3"/>
    <n v="348.84"/>
    <n v="1046.52"/>
    <x v="23"/>
  </r>
  <r>
    <d v="2024-09-14T00:00:00"/>
    <x v="2"/>
    <x v="0"/>
    <s v="Accessories"/>
    <x v="2"/>
    <n v="7"/>
    <n v="30.44"/>
    <n v="213.08"/>
    <x v="4"/>
  </r>
  <r>
    <d v="2024-02-22T00:00:00"/>
    <x v="0"/>
    <x v="6"/>
    <s v="Furniture"/>
    <x v="2"/>
    <n v="5"/>
    <n v="184.75"/>
    <n v="923.75"/>
    <x v="12"/>
  </r>
  <r>
    <d v="2024-04-04T00:00:00"/>
    <x v="3"/>
    <x v="4"/>
    <s v="Accessories"/>
    <x v="4"/>
    <n v="3"/>
    <n v="69.28"/>
    <n v="207.84"/>
    <x v="1"/>
  </r>
  <r>
    <d v="2025-10-11T00:00:00"/>
    <x v="2"/>
    <x v="3"/>
    <s v="Accessories"/>
    <x v="5"/>
    <n v="8"/>
    <n v="43.14"/>
    <n v="345.12"/>
    <x v="0"/>
  </r>
  <r>
    <d v="2025-03-09T00:00:00"/>
    <x v="1"/>
    <x v="2"/>
    <s v="Electronics"/>
    <x v="5"/>
    <n v="2"/>
    <n v="869.16"/>
    <n v="1738.32"/>
    <x v="11"/>
  </r>
  <r>
    <d v="2024-10-10T00:00:00"/>
    <x v="2"/>
    <x v="1"/>
    <s v="Furniture"/>
    <x v="1"/>
    <n v="3"/>
    <n v="413.8"/>
    <n v="1241.4000000000001"/>
    <x v="3"/>
  </r>
  <r>
    <d v="2024-02-15T00:00:00"/>
    <x v="2"/>
    <x v="3"/>
    <s v="Accessories"/>
    <x v="2"/>
    <n v="1"/>
    <n v="47.27"/>
    <n v="47.27"/>
    <x v="12"/>
  </r>
  <r>
    <d v="2024-01-04T00:00:00"/>
    <x v="0"/>
    <x v="6"/>
    <s v="Furniture"/>
    <x v="2"/>
    <n v="1"/>
    <n v="190.5"/>
    <n v="190.5"/>
    <x v="2"/>
  </r>
  <r>
    <d v="2024-12-07T00:00:00"/>
    <x v="0"/>
    <x v="2"/>
    <s v="Electronics"/>
    <x v="5"/>
    <n v="1"/>
    <n v="952.13"/>
    <n v="952.13"/>
    <x v="19"/>
  </r>
  <r>
    <d v="2024-05-13T00:00:00"/>
    <x v="3"/>
    <x v="2"/>
    <s v="Electronics"/>
    <x v="5"/>
    <n v="5"/>
    <n v="826.42"/>
    <n v="4132.1000000000004"/>
    <x v="6"/>
  </r>
  <r>
    <d v="2025-10-14T00:00:00"/>
    <x v="1"/>
    <x v="1"/>
    <s v="Furniture"/>
    <x v="1"/>
    <n v="3"/>
    <n v="399.55"/>
    <n v="1198.6500000000001"/>
    <x v="0"/>
  </r>
  <r>
    <d v="2024-09-25T00:00:00"/>
    <x v="2"/>
    <x v="3"/>
    <s v="Accessories"/>
    <x v="3"/>
    <n v="4"/>
    <n v="41.02"/>
    <n v="164.08"/>
    <x v="4"/>
  </r>
  <r>
    <d v="2024-06-14T00:00:00"/>
    <x v="0"/>
    <x v="6"/>
    <s v="Furniture"/>
    <x v="1"/>
    <n v="5"/>
    <n v="181.78"/>
    <n v="908.9"/>
    <x v="18"/>
  </r>
  <r>
    <d v="2025-03-28T00:00:00"/>
    <x v="0"/>
    <x v="6"/>
    <s v="Furniture"/>
    <x v="7"/>
    <n v="7"/>
    <n v="177.9"/>
    <n v="1245.3"/>
    <x v="11"/>
  </r>
  <r>
    <d v="2025-07-18T00:00:00"/>
    <x v="1"/>
    <x v="0"/>
    <s v="Accessories"/>
    <x v="5"/>
    <n v="5"/>
    <n v="32.33"/>
    <n v="161.65"/>
    <x v="8"/>
  </r>
  <r>
    <d v="2025-12-23T00:00:00"/>
    <x v="0"/>
    <x v="5"/>
    <s v="Electronics"/>
    <x v="0"/>
    <n v="7"/>
    <n v="242.55"/>
    <n v="1697.85"/>
    <x v="16"/>
  </r>
  <r>
    <d v="2025-03-13T00:00:00"/>
    <x v="1"/>
    <x v="4"/>
    <s v="Accessories"/>
    <x v="4"/>
    <n v="1"/>
    <n v="64.64"/>
    <n v="64.64"/>
    <x v="11"/>
  </r>
  <r>
    <d v="2025-07-28T00:00:00"/>
    <x v="0"/>
    <x v="5"/>
    <s v="Electronics"/>
    <x v="6"/>
    <n v="8"/>
    <n v="232.15"/>
    <n v="1857.2"/>
    <x v="8"/>
  </r>
  <r>
    <d v="2024-01-10T00:00:00"/>
    <x v="2"/>
    <x v="5"/>
    <s v="Electronics"/>
    <x v="7"/>
    <n v="1"/>
    <n v="263.08"/>
    <n v="263.08"/>
    <x v="2"/>
  </r>
  <r>
    <d v="2024-04-24T00:00:00"/>
    <x v="1"/>
    <x v="4"/>
    <s v="Accessories"/>
    <x v="1"/>
    <n v="5"/>
    <n v="71.66"/>
    <n v="358.3"/>
    <x v="1"/>
  </r>
  <r>
    <d v="2024-03-18T00:00:00"/>
    <x v="2"/>
    <x v="7"/>
    <s v="Office Equipment"/>
    <x v="6"/>
    <n v="1"/>
    <n v="294.47000000000003"/>
    <n v="294.47000000000003"/>
    <x v="9"/>
  </r>
  <r>
    <d v="2025-12-08T00:00:00"/>
    <x v="2"/>
    <x v="2"/>
    <s v="Electronics"/>
    <x v="0"/>
    <n v="4"/>
    <n v="825.14"/>
    <n v="3300.56"/>
    <x v="16"/>
  </r>
  <r>
    <d v="2024-06-01T00:00:00"/>
    <x v="2"/>
    <x v="5"/>
    <s v="Electronics"/>
    <x v="7"/>
    <n v="5"/>
    <n v="260.05"/>
    <n v="1300.25"/>
    <x v="18"/>
  </r>
  <r>
    <d v="2025-07-12T00:00:00"/>
    <x v="0"/>
    <x v="1"/>
    <s v="Furniture"/>
    <x v="4"/>
    <n v="6"/>
    <n v="365.82"/>
    <n v="2194.92"/>
    <x v="8"/>
  </r>
  <r>
    <d v="2024-02-06T00:00:00"/>
    <x v="1"/>
    <x v="5"/>
    <s v="Electronics"/>
    <x v="1"/>
    <n v="6"/>
    <n v="266.08999999999997"/>
    <n v="1596.54"/>
    <x v="12"/>
  </r>
  <r>
    <d v="2025-01-13T00:00:00"/>
    <x v="1"/>
    <x v="1"/>
    <s v="Furniture"/>
    <x v="6"/>
    <n v="4"/>
    <n v="416.5"/>
    <n v="1666"/>
    <x v="20"/>
  </r>
  <r>
    <d v="2025-08-19T00:00:00"/>
    <x v="1"/>
    <x v="1"/>
    <s v="Furniture"/>
    <x v="3"/>
    <n v="6"/>
    <n v="366.51"/>
    <n v="2199.06"/>
    <x v="10"/>
  </r>
  <r>
    <d v="2025-07-19T00:00:00"/>
    <x v="2"/>
    <x v="4"/>
    <s v="Accessories"/>
    <x v="6"/>
    <n v="8"/>
    <n v="64.19"/>
    <n v="513.52"/>
    <x v="8"/>
  </r>
  <r>
    <d v="2024-05-31T00:00:00"/>
    <x v="2"/>
    <x v="1"/>
    <s v="Furniture"/>
    <x v="0"/>
    <n v="7"/>
    <n v="438.93"/>
    <n v="3072.51"/>
    <x v="6"/>
  </r>
  <r>
    <d v="2025-03-16T00:00:00"/>
    <x v="2"/>
    <x v="5"/>
    <s v="Electronics"/>
    <x v="1"/>
    <n v="5"/>
    <n v="243.71"/>
    <n v="1218.55"/>
    <x v="11"/>
  </r>
  <r>
    <d v="2024-05-10T00:00:00"/>
    <x v="2"/>
    <x v="5"/>
    <s v="Electronics"/>
    <x v="0"/>
    <n v="5"/>
    <n v="243.53"/>
    <n v="1217.6500000000001"/>
    <x v="6"/>
  </r>
  <r>
    <d v="2024-02-12T00:00:00"/>
    <x v="3"/>
    <x v="3"/>
    <s v="Accessories"/>
    <x v="6"/>
    <n v="7"/>
    <n v="47.82"/>
    <n v="334.74"/>
    <x v="12"/>
  </r>
  <r>
    <d v="2024-11-11T00:00:00"/>
    <x v="1"/>
    <x v="5"/>
    <s v="Electronics"/>
    <x v="3"/>
    <n v="2"/>
    <n v="272.36"/>
    <n v="544.72"/>
    <x v="21"/>
  </r>
  <r>
    <d v="2025-01-08T00:00:00"/>
    <x v="3"/>
    <x v="4"/>
    <s v="Accessories"/>
    <x v="1"/>
    <n v="6"/>
    <n v="76.8"/>
    <n v="460.8"/>
    <x v="20"/>
  </r>
  <r>
    <d v="2024-02-10T00:00:00"/>
    <x v="2"/>
    <x v="3"/>
    <s v="Accessories"/>
    <x v="0"/>
    <n v="2"/>
    <n v="47.28"/>
    <n v="94.56"/>
    <x v="12"/>
  </r>
  <r>
    <d v="2025-01-01T00:00:00"/>
    <x v="1"/>
    <x v="4"/>
    <s v="Accessories"/>
    <x v="5"/>
    <n v="7"/>
    <n v="68.27"/>
    <n v="477.89"/>
    <x v="20"/>
  </r>
  <r>
    <d v="2024-08-03T00:00:00"/>
    <x v="1"/>
    <x v="5"/>
    <s v="Electronics"/>
    <x v="6"/>
    <n v="6"/>
    <n v="229.18"/>
    <n v="1375.08"/>
    <x v="5"/>
  </r>
  <r>
    <d v="2025-11-29T00:00:00"/>
    <x v="3"/>
    <x v="1"/>
    <s v="Furniture"/>
    <x v="0"/>
    <n v="1"/>
    <n v="422.17"/>
    <n v="422.17"/>
    <x v="7"/>
  </r>
  <r>
    <d v="2024-09-12T00:00:00"/>
    <x v="2"/>
    <x v="1"/>
    <s v="Furniture"/>
    <x v="4"/>
    <n v="2"/>
    <n v="404.67"/>
    <n v="809.34"/>
    <x v="4"/>
  </r>
  <r>
    <d v="2025-11-13T00:00:00"/>
    <x v="2"/>
    <x v="1"/>
    <s v="Furniture"/>
    <x v="3"/>
    <n v="3"/>
    <n v="393.94"/>
    <n v="1181.82"/>
    <x v="7"/>
  </r>
  <r>
    <d v="2024-04-15T00:00:00"/>
    <x v="0"/>
    <x v="7"/>
    <s v="Office Equipment"/>
    <x v="4"/>
    <n v="5"/>
    <n v="346.01"/>
    <n v="1730.05"/>
    <x v="1"/>
  </r>
  <r>
    <d v="2024-12-28T00:00:00"/>
    <x v="0"/>
    <x v="5"/>
    <s v="Electronics"/>
    <x v="3"/>
    <n v="3"/>
    <n v="230.56"/>
    <n v="691.68"/>
    <x v="19"/>
  </r>
  <r>
    <d v="2025-07-27T00:00:00"/>
    <x v="0"/>
    <x v="1"/>
    <s v="Furniture"/>
    <x v="1"/>
    <n v="5"/>
    <n v="399.41"/>
    <n v="1997.05"/>
    <x v="8"/>
  </r>
  <r>
    <d v="2025-02-20T00:00:00"/>
    <x v="2"/>
    <x v="6"/>
    <s v="Furniture"/>
    <x v="2"/>
    <n v="5"/>
    <n v="162.41"/>
    <n v="812.05"/>
    <x v="22"/>
  </r>
  <r>
    <d v="2025-09-27T00:00:00"/>
    <x v="1"/>
    <x v="0"/>
    <s v="Accessories"/>
    <x v="4"/>
    <n v="8"/>
    <n v="29.81"/>
    <n v="238.48"/>
    <x v="14"/>
  </r>
  <r>
    <d v="2024-06-07T00:00:00"/>
    <x v="0"/>
    <x v="7"/>
    <s v="Office Equipment"/>
    <x v="6"/>
    <n v="1"/>
    <n v="291.60000000000002"/>
    <n v="291.60000000000002"/>
    <x v="18"/>
  </r>
  <r>
    <d v="2024-08-30T00:00:00"/>
    <x v="0"/>
    <x v="1"/>
    <s v="Furniture"/>
    <x v="6"/>
    <n v="6"/>
    <n v="369.51"/>
    <n v="2217.06"/>
    <x v="5"/>
  </r>
  <r>
    <d v="2024-06-15T00:00:00"/>
    <x v="3"/>
    <x v="1"/>
    <s v="Furniture"/>
    <x v="6"/>
    <n v="3"/>
    <n v="369.4"/>
    <n v="1108.2"/>
    <x v="18"/>
  </r>
  <r>
    <d v="2024-06-30T00:00:00"/>
    <x v="3"/>
    <x v="0"/>
    <s v="Accessories"/>
    <x v="4"/>
    <n v="8"/>
    <n v="30.9"/>
    <n v="247.2"/>
    <x v="18"/>
  </r>
  <r>
    <d v="2025-02-26T00:00:00"/>
    <x v="3"/>
    <x v="1"/>
    <s v="Furniture"/>
    <x v="2"/>
    <n v="6"/>
    <n v="419.68"/>
    <n v="2518.08"/>
    <x v="22"/>
  </r>
  <r>
    <d v="2024-01-26T00:00:00"/>
    <x v="0"/>
    <x v="0"/>
    <s v="Accessories"/>
    <x v="3"/>
    <n v="6"/>
    <n v="30.5"/>
    <n v="183"/>
    <x v="2"/>
  </r>
  <r>
    <d v="2024-07-02T00:00:00"/>
    <x v="1"/>
    <x v="1"/>
    <s v="Furniture"/>
    <x v="7"/>
    <n v="6"/>
    <n v="436.97"/>
    <n v="2621.82"/>
    <x v="15"/>
  </r>
  <r>
    <d v="2024-12-06T00:00:00"/>
    <x v="0"/>
    <x v="3"/>
    <s v="Accessories"/>
    <x v="7"/>
    <n v="1"/>
    <n v="43.87"/>
    <n v="43.87"/>
    <x v="19"/>
  </r>
  <r>
    <d v="2025-02-25T00:00:00"/>
    <x v="1"/>
    <x v="4"/>
    <s v="Accessories"/>
    <x v="0"/>
    <n v="5"/>
    <n v="67"/>
    <n v="335"/>
    <x v="22"/>
  </r>
  <r>
    <d v="2025-11-16T00:00:00"/>
    <x v="3"/>
    <x v="4"/>
    <s v="Accessories"/>
    <x v="7"/>
    <n v="3"/>
    <n v="75.16"/>
    <n v="225.48"/>
    <x v="7"/>
  </r>
  <r>
    <d v="2024-09-11T00:00:00"/>
    <x v="0"/>
    <x v="7"/>
    <s v="Office Equipment"/>
    <x v="0"/>
    <n v="3"/>
    <n v="302.31"/>
    <n v="906.93"/>
    <x v="4"/>
  </r>
  <r>
    <d v="2024-09-30T00:00:00"/>
    <x v="0"/>
    <x v="5"/>
    <s v="Electronics"/>
    <x v="0"/>
    <n v="8"/>
    <n v="273.16000000000003"/>
    <n v="2185.2800000000002"/>
    <x v="4"/>
  </r>
  <r>
    <d v="2024-06-12T00:00:00"/>
    <x v="3"/>
    <x v="1"/>
    <s v="Furniture"/>
    <x v="1"/>
    <n v="1"/>
    <n v="360.97"/>
    <n v="360.97"/>
    <x v="18"/>
  </r>
  <r>
    <d v="2025-12-19T00:00:00"/>
    <x v="3"/>
    <x v="5"/>
    <s v="Electronics"/>
    <x v="4"/>
    <n v="4"/>
    <n v="273.49"/>
    <n v="1093.96"/>
    <x v="16"/>
  </r>
  <r>
    <d v="2024-04-20T00:00:00"/>
    <x v="3"/>
    <x v="2"/>
    <s v="Electronics"/>
    <x v="0"/>
    <n v="7"/>
    <n v="817.77"/>
    <n v="5724.39"/>
    <x v="1"/>
  </r>
  <r>
    <d v="2025-01-26T00:00:00"/>
    <x v="1"/>
    <x v="5"/>
    <s v="Electronics"/>
    <x v="3"/>
    <n v="1"/>
    <n v="269.56"/>
    <n v="269.56"/>
    <x v="20"/>
  </r>
  <r>
    <d v="2024-02-09T00:00:00"/>
    <x v="0"/>
    <x v="0"/>
    <s v="Accessories"/>
    <x v="6"/>
    <n v="4"/>
    <n v="30.17"/>
    <n v="120.68"/>
    <x v="12"/>
  </r>
  <r>
    <d v="2025-04-26T00:00:00"/>
    <x v="2"/>
    <x v="1"/>
    <s v="Furniture"/>
    <x v="6"/>
    <n v="8"/>
    <n v="439.44"/>
    <n v="3515.52"/>
    <x v="17"/>
  </r>
  <r>
    <d v="2024-08-15T00:00:00"/>
    <x v="1"/>
    <x v="2"/>
    <s v="Electronics"/>
    <x v="3"/>
    <n v="8"/>
    <n v="823.28"/>
    <n v="6586.24"/>
    <x v="5"/>
  </r>
  <r>
    <d v="2024-07-23T00:00:00"/>
    <x v="1"/>
    <x v="1"/>
    <s v="Furniture"/>
    <x v="4"/>
    <n v="2"/>
    <n v="404.31"/>
    <n v="808.62"/>
    <x v="15"/>
  </r>
  <r>
    <d v="2025-04-16T00:00:00"/>
    <x v="3"/>
    <x v="6"/>
    <s v="Furniture"/>
    <x v="2"/>
    <n v="5"/>
    <n v="196.89"/>
    <n v="984.45"/>
    <x v="17"/>
  </r>
  <r>
    <d v="2024-12-24T00:00:00"/>
    <x v="3"/>
    <x v="0"/>
    <s v="Accessories"/>
    <x v="2"/>
    <n v="8"/>
    <n v="30.14"/>
    <n v="241.12"/>
    <x v="19"/>
  </r>
  <r>
    <d v="2024-11-08T00:00:00"/>
    <x v="0"/>
    <x v="5"/>
    <s v="Electronics"/>
    <x v="6"/>
    <n v="8"/>
    <n v="256.47000000000003"/>
    <n v="2051.7600000000002"/>
    <x v="21"/>
  </r>
  <r>
    <d v="2024-08-21T00:00:00"/>
    <x v="1"/>
    <x v="5"/>
    <s v="Electronics"/>
    <x v="1"/>
    <n v="5"/>
    <n v="259.79000000000002"/>
    <n v="1298.95"/>
    <x v="5"/>
  </r>
  <r>
    <d v="2024-08-16T00:00:00"/>
    <x v="1"/>
    <x v="2"/>
    <s v="Electronics"/>
    <x v="4"/>
    <n v="6"/>
    <n v="891.82"/>
    <n v="5350.92"/>
    <x v="5"/>
  </r>
  <r>
    <d v="2024-01-25T00:00:00"/>
    <x v="2"/>
    <x v="0"/>
    <s v="Accessories"/>
    <x v="6"/>
    <n v="3"/>
    <n v="30.77"/>
    <n v="92.31"/>
    <x v="2"/>
  </r>
  <r>
    <d v="2025-11-06T00:00:00"/>
    <x v="2"/>
    <x v="1"/>
    <s v="Furniture"/>
    <x v="0"/>
    <n v="8"/>
    <n v="406.75"/>
    <n v="3254"/>
    <x v="7"/>
  </r>
  <r>
    <d v="2024-07-16T00:00:00"/>
    <x v="0"/>
    <x v="3"/>
    <s v="Accessories"/>
    <x v="0"/>
    <n v="3"/>
    <n v="48.61"/>
    <n v="145.83000000000001"/>
    <x v="15"/>
  </r>
  <r>
    <d v="2025-02-12T00:00:00"/>
    <x v="0"/>
    <x v="2"/>
    <s v="Electronics"/>
    <x v="0"/>
    <n v="4"/>
    <n v="818.18"/>
    <n v="3272.72"/>
    <x v="22"/>
  </r>
  <r>
    <d v="2024-12-02T00:00:00"/>
    <x v="2"/>
    <x v="1"/>
    <s v="Furniture"/>
    <x v="7"/>
    <n v="1"/>
    <n v="382.48"/>
    <n v="382.48"/>
    <x v="19"/>
  </r>
  <r>
    <d v="2024-10-12T00:00:00"/>
    <x v="1"/>
    <x v="7"/>
    <s v="Office Equipment"/>
    <x v="4"/>
    <n v="2"/>
    <n v="348.83"/>
    <n v="697.66"/>
    <x v="3"/>
  </r>
  <r>
    <d v="2024-03-12T00:00:00"/>
    <x v="2"/>
    <x v="6"/>
    <s v="Furniture"/>
    <x v="2"/>
    <n v="6"/>
    <n v="194.05"/>
    <n v="1164.3"/>
    <x v="9"/>
  </r>
  <r>
    <d v="2024-10-12T00:00:00"/>
    <x v="0"/>
    <x v="5"/>
    <s v="Electronics"/>
    <x v="6"/>
    <n v="5"/>
    <n v="247.78"/>
    <n v="1238.9000000000001"/>
    <x v="3"/>
  </r>
  <r>
    <d v="2024-12-25T00:00:00"/>
    <x v="1"/>
    <x v="1"/>
    <s v="Furniture"/>
    <x v="6"/>
    <n v="7"/>
    <n v="409.61"/>
    <n v="2867.27"/>
    <x v="19"/>
  </r>
  <r>
    <d v="2025-10-18T00:00:00"/>
    <x v="2"/>
    <x v="6"/>
    <s v="Furniture"/>
    <x v="3"/>
    <n v="8"/>
    <n v="171.99"/>
    <n v="1375.92"/>
    <x v="0"/>
  </r>
  <r>
    <d v="2025-06-05T00:00:00"/>
    <x v="3"/>
    <x v="5"/>
    <s v="Electronics"/>
    <x v="1"/>
    <n v="3"/>
    <n v="234.41"/>
    <n v="703.23"/>
    <x v="13"/>
  </r>
  <r>
    <d v="2025-02-13T00:00:00"/>
    <x v="1"/>
    <x v="0"/>
    <s v="Accessories"/>
    <x v="4"/>
    <n v="5"/>
    <n v="29.78"/>
    <n v="148.9"/>
    <x v="22"/>
  </r>
  <r>
    <d v="2025-11-26T00:00:00"/>
    <x v="0"/>
    <x v="6"/>
    <s v="Furniture"/>
    <x v="0"/>
    <n v="3"/>
    <n v="174.72"/>
    <n v="524.16"/>
    <x v="7"/>
  </r>
  <r>
    <d v="2025-07-03T00:00:00"/>
    <x v="0"/>
    <x v="3"/>
    <s v="Accessories"/>
    <x v="4"/>
    <n v="7"/>
    <n v="45.75"/>
    <n v="320.25"/>
    <x v="8"/>
  </r>
  <r>
    <d v="2024-12-05T00:00:00"/>
    <x v="2"/>
    <x v="4"/>
    <s v="Accessories"/>
    <x v="2"/>
    <n v="3"/>
    <n v="64.09"/>
    <n v="192.27"/>
    <x v="19"/>
  </r>
  <r>
    <d v="2024-01-29T00:00:00"/>
    <x v="2"/>
    <x v="7"/>
    <s v="Office Equipment"/>
    <x v="6"/>
    <n v="3"/>
    <n v="350.36"/>
    <n v="1051.08"/>
    <x v="2"/>
  </r>
  <r>
    <d v="2024-04-28T00:00:00"/>
    <x v="3"/>
    <x v="4"/>
    <s v="Accessories"/>
    <x v="5"/>
    <n v="1"/>
    <n v="76.81"/>
    <n v="76.81"/>
    <x v="1"/>
  </r>
  <r>
    <d v="2024-09-24T00:00:00"/>
    <x v="2"/>
    <x v="4"/>
    <s v="Accessories"/>
    <x v="0"/>
    <n v="3"/>
    <n v="72.77"/>
    <n v="218.31"/>
    <x v="4"/>
  </r>
  <r>
    <d v="2024-07-01T00:00:00"/>
    <x v="0"/>
    <x v="4"/>
    <s v="Accessories"/>
    <x v="0"/>
    <n v="7"/>
    <n v="70.510000000000005"/>
    <n v="493.57"/>
    <x v="15"/>
  </r>
  <r>
    <d v="2025-08-17T00:00:00"/>
    <x v="2"/>
    <x v="4"/>
    <s v="Accessories"/>
    <x v="1"/>
    <n v="8"/>
    <n v="67.33"/>
    <n v="538.64"/>
    <x v="10"/>
  </r>
  <r>
    <d v="2024-09-28T00:00:00"/>
    <x v="3"/>
    <x v="2"/>
    <s v="Electronics"/>
    <x v="5"/>
    <n v="4"/>
    <n v="956.48"/>
    <n v="3825.92"/>
    <x v="4"/>
  </r>
  <r>
    <d v="2024-02-09T00:00:00"/>
    <x v="3"/>
    <x v="7"/>
    <s v="Office Equipment"/>
    <x v="4"/>
    <n v="4"/>
    <n v="331.82"/>
    <n v="1327.28"/>
    <x v="12"/>
  </r>
  <r>
    <d v="2024-04-21T00:00:00"/>
    <x v="1"/>
    <x v="4"/>
    <s v="Accessories"/>
    <x v="1"/>
    <n v="8"/>
    <n v="65.28"/>
    <n v="522.24"/>
    <x v="1"/>
  </r>
  <r>
    <d v="2025-09-02T00:00:00"/>
    <x v="1"/>
    <x v="7"/>
    <s v="Office Equipment"/>
    <x v="2"/>
    <n v="6"/>
    <n v="346.3"/>
    <n v="2077.8000000000002"/>
    <x v="14"/>
  </r>
  <r>
    <d v="2025-03-20T00:00:00"/>
    <x v="1"/>
    <x v="0"/>
    <s v="Accessories"/>
    <x v="7"/>
    <n v="7"/>
    <n v="31.94"/>
    <n v="223.58"/>
    <x v="11"/>
  </r>
  <r>
    <d v="2024-12-19T00:00:00"/>
    <x v="0"/>
    <x v="7"/>
    <s v="Office Equipment"/>
    <x v="3"/>
    <n v="1"/>
    <n v="348.79"/>
    <n v="348.79"/>
    <x v="19"/>
  </r>
  <r>
    <d v="2024-11-17T00:00:00"/>
    <x v="0"/>
    <x v="6"/>
    <s v="Furniture"/>
    <x v="1"/>
    <n v="2"/>
    <n v="188.13"/>
    <n v="376.26"/>
    <x v="21"/>
  </r>
  <r>
    <d v="2025-03-22T00:00:00"/>
    <x v="3"/>
    <x v="0"/>
    <s v="Accessories"/>
    <x v="0"/>
    <n v="4"/>
    <n v="30.68"/>
    <n v="122.72"/>
    <x v="11"/>
  </r>
  <r>
    <d v="2025-09-12T00:00:00"/>
    <x v="2"/>
    <x v="3"/>
    <s v="Accessories"/>
    <x v="7"/>
    <n v="3"/>
    <n v="44.26"/>
    <n v="132.78"/>
    <x v="14"/>
  </r>
  <r>
    <d v="2025-06-07T00:00:00"/>
    <x v="3"/>
    <x v="2"/>
    <s v="Electronics"/>
    <x v="4"/>
    <n v="6"/>
    <n v="977.89"/>
    <n v="5867.34"/>
    <x v="13"/>
  </r>
  <r>
    <d v="2024-04-28T00:00:00"/>
    <x v="3"/>
    <x v="6"/>
    <s v="Furniture"/>
    <x v="3"/>
    <n v="5"/>
    <n v="193.18"/>
    <n v="965.9"/>
    <x v="1"/>
  </r>
  <r>
    <d v="2025-01-29T00:00:00"/>
    <x v="0"/>
    <x v="5"/>
    <s v="Electronics"/>
    <x v="5"/>
    <n v="3"/>
    <n v="227.26"/>
    <n v="681.78"/>
    <x v="20"/>
  </r>
  <r>
    <d v="2025-08-13T00:00:00"/>
    <x v="2"/>
    <x v="7"/>
    <s v="Office Equipment"/>
    <x v="7"/>
    <n v="3"/>
    <n v="289.69"/>
    <n v="869.07"/>
    <x v="10"/>
  </r>
  <r>
    <d v="2024-07-13T00:00:00"/>
    <x v="2"/>
    <x v="3"/>
    <s v="Accessories"/>
    <x v="0"/>
    <n v="6"/>
    <n v="43.89"/>
    <n v="263.33999999999997"/>
    <x v="15"/>
  </r>
  <r>
    <d v="2024-09-17T00:00:00"/>
    <x v="3"/>
    <x v="4"/>
    <s v="Accessories"/>
    <x v="0"/>
    <n v="3"/>
    <n v="74.349999999999994"/>
    <n v="223.05"/>
    <x v="4"/>
  </r>
  <r>
    <d v="2024-02-15T00:00:00"/>
    <x v="1"/>
    <x v="1"/>
    <s v="Furniture"/>
    <x v="1"/>
    <n v="8"/>
    <n v="438.98"/>
    <n v="3511.84"/>
    <x v="12"/>
  </r>
  <r>
    <d v="2025-12-26T00:00:00"/>
    <x v="3"/>
    <x v="1"/>
    <s v="Furniture"/>
    <x v="2"/>
    <n v="5"/>
    <n v="372.03"/>
    <n v="1860.15"/>
    <x v="16"/>
  </r>
  <r>
    <d v="2025-03-22T00:00:00"/>
    <x v="1"/>
    <x v="4"/>
    <s v="Accessories"/>
    <x v="1"/>
    <n v="6"/>
    <n v="71.319999999999993"/>
    <n v="427.92"/>
    <x v="11"/>
  </r>
  <r>
    <d v="2024-01-02T00:00:00"/>
    <x v="1"/>
    <x v="4"/>
    <s v="Accessories"/>
    <x v="0"/>
    <n v="6"/>
    <n v="68.33"/>
    <n v="409.98"/>
    <x v="2"/>
  </r>
  <r>
    <d v="2025-06-16T00:00:00"/>
    <x v="2"/>
    <x v="0"/>
    <s v="Accessories"/>
    <x v="2"/>
    <n v="7"/>
    <n v="32.82"/>
    <n v="229.74"/>
    <x v="13"/>
  </r>
  <r>
    <d v="2025-07-05T00:00:00"/>
    <x v="3"/>
    <x v="7"/>
    <s v="Office Equipment"/>
    <x v="6"/>
    <n v="6"/>
    <n v="341.9"/>
    <n v="2051.4"/>
    <x v="8"/>
  </r>
  <r>
    <d v="2025-12-04T00:00:00"/>
    <x v="3"/>
    <x v="3"/>
    <s v="Accessories"/>
    <x v="5"/>
    <n v="8"/>
    <n v="48.04"/>
    <n v="384.32"/>
    <x v="16"/>
  </r>
  <r>
    <d v="2025-11-17T00:00:00"/>
    <x v="0"/>
    <x v="2"/>
    <s v="Electronics"/>
    <x v="5"/>
    <n v="2"/>
    <n v="894.36"/>
    <n v="1788.72"/>
    <x v="7"/>
  </r>
  <r>
    <d v="2024-07-20T00:00:00"/>
    <x v="0"/>
    <x v="5"/>
    <s v="Electronics"/>
    <x v="2"/>
    <n v="3"/>
    <n v="245.74"/>
    <n v="737.22"/>
    <x v="15"/>
  </r>
  <r>
    <d v="2025-01-07T00:00:00"/>
    <x v="2"/>
    <x v="2"/>
    <s v="Electronics"/>
    <x v="4"/>
    <n v="7"/>
    <n v="859.21"/>
    <n v="6014.47"/>
    <x v="20"/>
  </r>
  <r>
    <d v="2025-03-17T00:00:00"/>
    <x v="3"/>
    <x v="7"/>
    <s v="Office Equipment"/>
    <x v="1"/>
    <n v="3"/>
    <n v="291.61"/>
    <n v="874.83"/>
    <x v="11"/>
  </r>
  <r>
    <d v="2024-03-12T00:00:00"/>
    <x v="1"/>
    <x v="6"/>
    <s v="Furniture"/>
    <x v="6"/>
    <n v="5"/>
    <n v="193.13"/>
    <n v="965.65"/>
    <x v="9"/>
  </r>
  <r>
    <d v="2025-11-11T00:00:00"/>
    <x v="0"/>
    <x v="3"/>
    <s v="Accessories"/>
    <x v="3"/>
    <n v="1"/>
    <n v="47.82"/>
    <n v="47.82"/>
    <x v="7"/>
  </r>
  <r>
    <d v="2024-12-04T00:00:00"/>
    <x v="1"/>
    <x v="0"/>
    <s v="Accessories"/>
    <x v="1"/>
    <n v="7"/>
    <n v="33"/>
    <n v="231"/>
    <x v="19"/>
  </r>
  <r>
    <d v="2025-09-30T00:00:00"/>
    <x v="0"/>
    <x v="2"/>
    <s v="Electronics"/>
    <x v="1"/>
    <n v="4"/>
    <n v="989.39"/>
    <n v="3957.56"/>
    <x v="14"/>
  </r>
  <r>
    <d v="2024-11-17T00:00:00"/>
    <x v="0"/>
    <x v="3"/>
    <s v="Accessories"/>
    <x v="5"/>
    <n v="4"/>
    <n v="45.5"/>
    <n v="182"/>
    <x v="21"/>
  </r>
  <r>
    <d v="2025-11-10T00:00:00"/>
    <x v="1"/>
    <x v="2"/>
    <s v="Electronics"/>
    <x v="0"/>
    <n v="6"/>
    <n v="948.42"/>
    <n v="5690.52"/>
    <x v="7"/>
  </r>
  <r>
    <d v="2024-05-07T00:00:00"/>
    <x v="1"/>
    <x v="3"/>
    <s v="Accessories"/>
    <x v="7"/>
    <n v="8"/>
    <n v="49"/>
    <n v="392"/>
    <x v="6"/>
  </r>
  <r>
    <d v="2024-11-03T00:00:00"/>
    <x v="1"/>
    <x v="1"/>
    <s v="Furniture"/>
    <x v="1"/>
    <n v="2"/>
    <n v="427.97"/>
    <n v="855.94"/>
    <x v="21"/>
  </r>
  <r>
    <d v="2025-06-03T00:00:00"/>
    <x v="3"/>
    <x v="6"/>
    <s v="Furniture"/>
    <x v="4"/>
    <n v="6"/>
    <n v="170.9"/>
    <n v="1025.4000000000001"/>
    <x v="13"/>
  </r>
  <r>
    <d v="2024-11-12T00:00:00"/>
    <x v="2"/>
    <x v="1"/>
    <s v="Furniture"/>
    <x v="1"/>
    <n v="3"/>
    <n v="396.04"/>
    <n v="1188.1199999999999"/>
    <x v="21"/>
  </r>
  <r>
    <d v="2025-11-13T00:00:00"/>
    <x v="0"/>
    <x v="2"/>
    <s v="Electronics"/>
    <x v="6"/>
    <n v="3"/>
    <n v="833.25"/>
    <n v="2499.75"/>
    <x v="7"/>
  </r>
  <r>
    <d v="2025-02-22T00:00:00"/>
    <x v="0"/>
    <x v="0"/>
    <s v="Accessories"/>
    <x v="2"/>
    <n v="3"/>
    <n v="32.72"/>
    <n v="98.16"/>
    <x v="22"/>
  </r>
  <r>
    <d v="2024-11-30T00:00:00"/>
    <x v="1"/>
    <x v="0"/>
    <s v="Accessories"/>
    <x v="4"/>
    <n v="2"/>
    <n v="30.64"/>
    <n v="61.28"/>
    <x v="21"/>
  </r>
  <r>
    <d v="2025-02-16T00:00:00"/>
    <x v="3"/>
    <x v="5"/>
    <s v="Electronics"/>
    <x v="0"/>
    <n v="7"/>
    <n v="236.43"/>
    <n v="1655.01"/>
    <x v="22"/>
  </r>
  <r>
    <d v="2025-12-14T00:00:00"/>
    <x v="2"/>
    <x v="6"/>
    <s v="Furniture"/>
    <x v="3"/>
    <n v="3"/>
    <n v="186.18"/>
    <n v="558.54"/>
    <x v="16"/>
  </r>
  <r>
    <d v="2024-10-29T00:00:00"/>
    <x v="3"/>
    <x v="5"/>
    <s v="Electronics"/>
    <x v="5"/>
    <n v="4"/>
    <n v="255.91"/>
    <n v="1023.64"/>
    <x v="3"/>
  </r>
  <r>
    <d v="2025-07-21T00:00:00"/>
    <x v="2"/>
    <x v="7"/>
    <s v="Office Equipment"/>
    <x v="0"/>
    <n v="4"/>
    <n v="310.92"/>
    <n v="1243.68"/>
    <x v="8"/>
  </r>
  <r>
    <d v="2024-05-10T00:00:00"/>
    <x v="2"/>
    <x v="7"/>
    <s v="Office Equipment"/>
    <x v="2"/>
    <n v="1"/>
    <n v="295.27"/>
    <n v="295.27"/>
    <x v="6"/>
  </r>
  <r>
    <d v="2024-07-15T00:00:00"/>
    <x v="2"/>
    <x v="1"/>
    <s v="Furniture"/>
    <x v="2"/>
    <n v="2"/>
    <n v="413.73"/>
    <n v="827.46"/>
    <x v="15"/>
  </r>
  <r>
    <d v="2025-03-06T00:00:00"/>
    <x v="3"/>
    <x v="5"/>
    <s v="Electronics"/>
    <x v="6"/>
    <n v="1"/>
    <n v="251.02"/>
    <n v="251.02"/>
    <x v="11"/>
  </r>
  <r>
    <d v="2025-11-11T00:00:00"/>
    <x v="0"/>
    <x v="3"/>
    <s v="Accessories"/>
    <x v="6"/>
    <n v="7"/>
    <n v="47.45"/>
    <n v="332.15"/>
    <x v="7"/>
  </r>
  <r>
    <d v="2025-01-23T00:00:00"/>
    <x v="1"/>
    <x v="3"/>
    <s v="Accessories"/>
    <x v="5"/>
    <n v="8"/>
    <n v="45.18"/>
    <n v="361.44"/>
    <x v="20"/>
  </r>
  <r>
    <d v="2025-11-24T00:00:00"/>
    <x v="3"/>
    <x v="5"/>
    <s v="Electronics"/>
    <x v="7"/>
    <n v="1"/>
    <n v="267.61"/>
    <n v="267.61"/>
    <x v="7"/>
  </r>
  <r>
    <d v="2024-06-27T00:00:00"/>
    <x v="0"/>
    <x v="2"/>
    <s v="Electronics"/>
    <x v="3"/>
    <n v="1"/>
    <n v="909.34"/>
    <n v="909.34"/>
    <x v="18"/>
  </r>
  <r>
    <d v="2025-09-22T00:00:00"/>
    <x v="0"/>
    <x v="1"/>
    <s v="Furniture"/>
    <x v="1"/>
    <n v="7"/>
    <n v="404.88"/>
    <n v="2834.16"/>
    <x v="14"/>
  </r>
  <r>
    <d v="2025-08-05T00:00:00"/>
    <x v="1"/>
    <x v="3"/>
    <s v="Accessories"/>
    <x v="3"/>
    <n v="5"/>
    <n v="48.39"/>
    <n v="241.95"/>
    <x v="10"/>
  </r>
  <r>
    <d v="2024-11-04T00:00:00"/>
    <x v="2"/>
    <x v="5"/>
    <s v="Electronics"/>
    <x v="6"/>
    <n v="4"/>
    <n v="245.17"/>
    <n v="980.68"/>
    <x v="21"/>
  </r>
  <r>
    <d v="2025-02-19T00:00:00"/>
    <x v="3"/>
    <x v="1"/>
    <s v="Furniture"/>
    <x v="0"/>
    <n v="2"/>
    <n v="370.72"/>
    <n v="741.44"/>
    <x v="22"/>
  </r>
  <r>
    <d v="2025-07-15T00:00:00"/>
    <x v="2"/>
    <x v="0"/>
    <s v="Accessories"/>
    <x v="1"/>
    <n v="1"/>
    <n v="27.17"/>
    <n v="27.17"/>
    <x v="8"/>
  </r>
  <r>
    <d v="2024-01-01T00:00:00"/>
    <x v="0"/>
    <x v="1"/>
    <s v="Furniture"/>
    <x v="5"/>
    <n v="2"/>
    <n v="420.41"/>
    <n v="840.82"/>
    <x v="2"/>
  </r>
  <r>
    <d v="2024-11-07T00:00:00"/>
    <x v="1"/>
    <x v="7"/>
    <s v="Office Equipment"/>
    <x v="5"/>
    <n v="3"/>
    <n v="327.7"/>
    <n v="983.1"/>
    <x v="21"/>
  </r>
  <r>
    <d v="2024-10-20T00:00:00"/>
    <x v="2"/>
    <x v="3"/>
    <s v="Accessories"/>
    <x v="2"/>
    <n v="1"/>
    <n v="46.84"/>
    <n v="46.84"/>
    <x v="3"/>
  </r>
  <r>
    <d v="2024-08-03T00:00:00"/>
    <x v="2"/>
    <x v="6"/>
    <s v="Furniture"/>
    <x v="6"/>
    <n v="5"/>
    <n v="169.67"/>
    <n v="848.35"/>
    <x v="5"/>
  </r>
  <r>
    <d v="2025-03-16T00:00:00"/>
    <x v="1"/>
    <x v="3"/>
    <s v="Accessories"/>
    <x v="5"/>
    <n v="5"/>
    <n v="41.73"/>
    <n v="208.65"/>
    <x v="11"/>
  </r>
  <r>
    <d v="2025-08-16T00:00:00"/>
    <x v="3"/>
    <x v="6"/>
    <s v="Furniture"/>
    <x v="1"/>
    <n v="7"/>
    <n v="162.52000000000001"/>
    <n v="1137.6400000000001"/>
    <x v="10"/>
  </r>
  <r>
    <d v="2025-09-13T00:00:00"/>
    <x v="0"/>
    <x v="7"/>
    <s v="Office Equipment"/>
    <x v="2"/>
    <n v="2"/>
    <n v="310.44"/>
    <n v="620.88"/>
    <x v="14"/>
  </r>
  <r>
    <d v="2025-11-01T00:00:00"/>
    <x v="0"/>
    <x v="6"/>
    <s v="Furniture"/>
    <x v="4"/>
    <n v="1"/>
    <n v="183.24"/>
    <n v="183.24"/>
    <x v="7"/>
  </r>
  <r>
    <d v="2024-11-25T00:00:00"/>
    <x v="3"/>
    <x v="6"/>
    <s v="Furniture"/>
    <x v="1"/>
    <n v="3"/>
    <n v="176.12"/>
    <n v="528.36"/>
    <x v="21"/>
  </r>
  <r>
    <d v="2025-04-21T00:00:00"/>
    <x v="1"/>
    <x v="5"/>
    <s v="Electronics"/>
    <x v="5"/>
    <n v="4"/>
    <n v="246.87"/>
    <n v="987.48"/>
    <x v="17"/>
  </r>
  <r>
    <d v="2025-03-28T00:00:00"/>
    <x v="1"/>
    <x v="2"/>
    <s v="Electronics"/>
    <x v="2"/>
    <n v="4"/>
    <n v="972.75"/>
    <n v="3891"/>
    <x v="11"/>
  </r>
  <r>
    <d v="2025-03-28T00:00:00"/>
    <x v="2"/>
    <x v="6"/>
    <s v="Furniture"/>
    <x v="4"/>
    <n v="7"/>
    <n v="174.54"/>
    <n v="1221.78"/>
    <x v="11"/>
  </r>
  <r>
    <d v="2025-11-22T00:00:00"/>
    <x v="2"/>
    <x v="2"/>
    <s v="Electronics"/>
    <x v="6"/>
    <n v="7"/>
    <n v="902.52"/>
    <n v="6317.64"/>
    <x v="7"/>
  </r>
  <r>
    <d v="2024-08-06T00:00:00"/>
    <x v="3"/>
    <x v="0"/>
    <s v="Accessories"/>
    <x v="3"/>
    <n v="7"/>
    <n v="31.7"/>
    <n v="221.9"/>
    <x v="5"/>
  </r>
  <r>
    <d v="2025-06-07T00:00:00"/>
    <x v="1"/>
    <x v="5"/>
    <s v="Electronics"/>
    <x v="5"/>
    <n v="6"/>
    <n v="244.83"/>
    <n v="1468.98"/>
    <x v="13"/>
  </r>
  <r>
    <d v="2025-04-29T00:00:00"/>
    <x v="1"/>
    <x v="3"/>
    <s v="Accessories"/>
    <x v="0"/>
    <n v="4"/>
    <n v="46.1"/>
    <n v="184.4"/>
    <x v="17"/>
  </r>
  <r>
    <d v="2024-06-22T00:00:00"/>
    <x v="3"/>
    <x v="5"/>
    <s v="Electronics"/>
    <x v="3"/>
    <n v="8"/>
    <n v="268.12"/>
    <n v="2144.96"/>
    <x v="18"/>
  </r>
  <r>
    <d v="2025-11-05T00:00:00"/>
    <x v="0"/>
    <x v="6"/>
    <s v="Furniture"/>
    <x v="5"/>
    <n v="2"/>
    <n v="196.18"/>
    <n v="392.36"/>
    <x v="7"/>
  </r>
  <r>
    <d v="2024-03-27T00:00:00"/>
    <x v="3"/>
    <x v="6"/>
    <s v="Furniture"/>
    <x v="3"/>
    <n v="4"/>
    <n v="167.29"/>
    <n v="669.16"/>
    <x v="9"/>
  </r>
  <r>
    <d v="2024-10-17T00:00:00"/>
    <x v="3"/>
    <x v="0"/>
    <s v="Accessories"/>
    <x v="2"/>
    <n v="8"/>
    <n v="32.56"/>
    <n v="260.48"/>
    <x v="3"/>
  </r>
  <r>
    <d v="2025-06-11T00:00:00"/>
    <x v="2"/>
    <x v="0"/>
    <s v="Accessories"/>
    <x v="5"/>
    <n v="4"/>
    <n v="29.95"/>
    <n v="119.8"/>
    <x v="13"/>
  </r>
  <r>
    <d v="2025-11-10T00:00:00"/>
    <x v="2"/>
    <x v="1"/>
    <s v="Furniture"/>
    <x v="6"/>
    <n v="1"/>
    <n v="380.66"/>
    <n v="380.66"/>
    <x v="7"/>
  </r>
  <r>
    <d v="2025-10-10T00:00:00"/>
    <x v="1"/>
    <x v="2"/>
    <s v="Electronics"/>
    <x v="0"/>
    <n v="6"/>
    <n v="892.64"/>
    <n v="5355.84"/>
    <x v="0"/>
  </r>
  <r>
    <d v="2025-09-26T00:00:00"/>
    <x v="2"/>
    <x v="7"/>
    <s v="Office Equipment"/>
    <x v="7"/>
    <n v="2"/>
    <n v="350.72"/>
    <n v="701.44"/>
    <x v="14"/>
  </r>
  <r>
    <d v="2024-12-09T00:00:00"/>
    <x v="1"/>
    <x v="1"/>
    <s v="Furniture"/>
    <x v="4"/>
    <n v="8"/>
    <n v="399.41"/>
    <n v="3195.28"/>
    <x v="19"/>
  </r>
  <r>
    <d v="2024-04-05T00:00:00"/>
    <x v="1"/>
    <x v="7"/>
    <s v="Office Equipment"/>
    <x v="7"/>
    <n v="2"/>
    <n v="309.04000000000002"/>
    <n v="618.08000000000004"/>
    <x v="1"/>
  </r>
  <r>
    <d v="2024-08-28T00:00:00"/>
    <x v="0"/>
    <x v="1"/>
    <s v="Furniture"/>
    <x v="1"/>
    <n v="6"/>
    <n v="410.67"/>
    <n v="2464.02"/>
    <x v="5"/>
  </r>
  <r>
    <d v="2025-11-19T00:00:00"/>
    <x v="0"/>
    <x v="5"/>
    <s v="Electronics"/>
    <x v="1"/>
    <n v="3"/>
    <n v="237.01"/>
    <n v="711.03"/>
    <x v="7"/>
  </r>
  <r>
    <d v="2024-11-13T00:00:00"/>
    <x v="2"/>
    <x v="2"/>
    <s v="Electronics"/>
    <x v="7"/>
    <n v="7"/>
    <n v="823.66"/>
    <n v="5765.62"/>
    <x v="21"/>
  </r>
  <r>
    <d v="2024-08-18T00:00:00"/>
    <x v="3"/>
    <x v="7"/>
    <s v="Office Equipment"/>
    <x v="0"/>
    <n v="5"/>
    <n v="296.25"/>
    <n v="1481.25"/>
    <x v="5"/>
  </r>
  <r>
    <d v="2024-07-22T00:00:00"/>
    <x v="0"/>
    <x v="6"/>
    <s v="Furniture"/>
    <x v="3"/>
    <n v="6"/>
    <n v="166.61"/>
    <n v="999.66"/>
    <x v="15"/>
  </r>
  <r>
    <d v="2024-05-30T00:00:00"/>
    <x v="2"/>
    <x v="0"/>
    <s v="Accessories"/>
    <x v="4"/>
    <n v="2"/>
    <n v="27.91"/>
    <n v="55.82"/>
    <x v="6"/>
  </r>
  <r>
    <d v="2024-01-26T00:00:00"/>
    <x v="1"/>
    <x v="5"/>
    <s v="Electronics"/>
    <x v="4"/>
    <n v="3"/>
    <n v="231.94"/>
    <n v="695.82"/>
    <x v="2"/>
  </r>
  <r>
    <d v="2024-02-17T00:00:00"/>
    <x v="3"/>
    <x v="4"/>
    <s v="Accessories"/>
    <x v="0"/>
    <n v="8"/>
    <n v="71.97"/>
    <n v="575.76"/>
    <x v="12"/>
  </r>
  <r>
    <d v="2024-09-07T00:00:00"/>
    <x v="2"/>
    <x v="5"/>
    <s v="Electronics"/>
    <x v="2"/>
    <n v="6"/>
    <n v="234.09"/>
    <n v="1404.54"/>
    <x v="4"/>
  </r>
  <r>
    <d v="2025-05-01T00:00:00"/>
    <x v="3"/>
    <x v="7"/>
    <s v="Office Equipment"/>
    <x v="1"/>
    <n v="8"/>
    <n v="310.12"/>
    <n v="2480.96"/>
    <x v="23"/>
  </r>
  <r>
    <d v="2025-09-17T00:00:00"/>
    <x v="3"/>
    <x v="5"/>
    <s v="Electronics"/>
    <x v="5"/>
    <n v="3"/>
    <n v="269.83999999999997"/>
    <n v="809.52"/>
    <x v="14"/>
  </r>
  <r>
    <d v="2024-03-15T00:00:00"/>
    <x v="2"/>
    <x v="0"/>
    <s v="Accessories"/>
    <x v="1"/>
    <n v="6"/>
    <n v="29.84"/>
    <n v="179.04"/>
    <x v="9"/>
  </r>
  <r>
    <d v="2025-04-11T00:00:00"/>
    <x v="0"/>
    <x v="0"/>
    <s v="Accessories"/>
    <x v="5"/>
    <n v="6"/>
    <n v="31.01"/>
    <n v="186.06"/>
    <x v="17"/>
  </r>
  <r>
    <d v="2025-02-28T00:00:00"/>
    <x v="2"/>
    <x v="7"/>
    <s v="Office Equipment"/>
    <x v="5"/>
    <n v="5"/>
    <n v="299.02999999999997"/>
    <n v="1495.15"/>
    <x v="22"/>
  </r>
  <r>
    <d v="2025-10-06T00:00:00"/>
    <x v="2"/>
    <x v="1"/>
    <s v="Furniture"/>
    <x v="1"/>
    <n v="8"/>
    <n v="375.38"/>
    <n v="3003.04"/>
    <x v="0"/>
  </r>
  <r>
    <d v="2025-08-12T00:00:00"/>
    <x v="2"/>
    <x v="4"/>
    <s v="Accessories"/>
    <x v="1"/>
    <n v="2"/>
    <n v="63.57"/>
    <n v="127.1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B2754-E621-41DF-9204-8B36231B64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28" firstHeaderRow="1" firstDataRow="1" firstDataCol="1"/>
  <pivotFields count="9">
    <pivotField numFmtId="14" showAll="0"/>
    <pivotField showAll="0">
      <items count="5">
        <item x="3"/>
        <item x="1"/>
        <item x="2"/>
        <item x="0"/>
        <item t="default"/>
      </items>
    </pivotField>
    <pivotField showAll="0">
      <items count="9">
        <item x="1"/>
        <item x="6"/>
        <item x="4"/>
        <item x="3"/>
        <item x="2"/>
        <item x="5"/>
        <item x="0"/>
        <item x="7"/>
        <item t="default"/>
      </items>
    </pivotField>
    <pivotField showAll="0"/>
    <pivotField showAll="0">
      <items count="9">
        <item x="5"/>
        <item x="0"/>
        <item x="3"/>
        <item x="2"/>
        <item x="1"/>
        <item x="7"/>
        <item x="6"/>
        <item x="4"/>
        <item t="default"/>
      </items>
    </pivotField>
    <pivotField showAll="0"/>
    <pivotField showAll="0"/>
    <pivotField dataField="1" showAll="0"/>
    <pivotField axis="axisRow" showAll="0">
      <items count="25">
        <item x="1"/>
        <item x="17"/>
        <item x="5"/>
        <item x="10"/>
        <item x="19"/>
        <item x="16"/>
        <item x="12"/>
        <item x="22"/>
        <item x="2"/>
        <item x="20"/>
        <item x="15"/>
        <item x="8"/>
        <item x="18"/>
        <item x="13"/>
        <item x="9"/>
        <item x="11"/>
        <item x="6"/>
        <item x="23"/>
        <item x="21"/>
        <item x="7"/>
        <item x="3"/>
        <item x="0"/>
        <item x="4"/>
        <item x="14"/>
        <item t="default"/>
      </items>
    </pivotField>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7"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C832E7-5861-4939-8A3E-37E9792AE4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2" firstHeaderRow="1" firstDataRow="1" firstDataCol="1"/>
  <pivotFields count="9">
    <pivotField numFmtId="14" showAll="0"/>
    <pivotField showAll="0">
      <items count="5">
        <item x="3"/>
        <item x="1"/>
        <item x="2"/>
        <item x="0"/>
        <item t="default"/>
      </items>
    </pivotField>
    <pivotField axis="axisRow" showAll="0" sortType="descending">
      <items count="9">
        <item x="1"/>
        <item x="6"/>
        <item x="4"/>
        <item x="3"/>
        <item x="2"/>
        <item x="5"/>
        <item x="0"/>
        <item x="7"/>
        <item t="default"/>
      </items>
      <autoSortScope>
        <pivotArea dataOnly="0" outline="0" fieldPosition="0">
          <references count="1">
            <reference field="4294967294" count="1" selected="0">
              <x v="0"/>
            </reference>
          </references>
        </pivotArea>
      </autoSortScope>
    </pivotField>
    <pivotField showAll="0"/>
    <pivotField showAll="0">
      <items count="9">
        <item x="5"/>
        <item x="0"/>
        <item x="3"/>
        <item x="2"/>
        <item x="1"/>
        <item x="7"/>
        <item x="6"/>
        <item x="4"/>
        <item t="default"/>
      </items>
    </pivotField>
    <pivotField showAll="0"/>
    <pivotField showAll="0"/>
    <pivotField dataField="1" showAll="0"/>
    <pivotField showAll="0">
      <items count="25">
        <item x="1"/>
        <item x="17"/>
        <item x="5"/>
        <item x="10"/>
        <item x="19"/>
        <item x="16"/>
        <item x="12"/>
        <item x="22"/>
        <item x="2"/>
        <item x="20"/>
        <item x="15"/>
        <item x="8"/>
        <item x="18"/>
        <item x="13"/>
        <item x="9"/>
        <item x="11"/>
        <item x="6"/>
        <item x="23"/>
        <item x="21"/>
        <item x="7"/>
        <item x="3"/>
        <item x="0"/>
        <item x="4"/>
        <item x="14"/>
        <item t="default"/>
      </items>
    </pivotField>
  </pivotFields>
  <rowFields count="1">
    <field x="2"/>
  </rowFields>
  <rowItems count="9">
    <i>
      <x v="4"/>
    </i>
    <i>
      <x/>
    </i>
    <i>
      <x v="7"/>
    </i>
    <i>
      <x v="5"/>
    </i>
    <i>
      <x v="1"/>
    </i>
    <i>
      <x v="2"/>
    </i>
    <i>
      <x v="3"/>
    </i>
    <i>
      <x v="6"/>
    </i>
    <i t="grand">
      <x/>
    </i>
  </rowItems>
  <colItems count="1">
    <i/>
  </colItems>
  <dataFields count="1">
    <dataField name="Sum of Revenue" fld="7"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40265F-5A66-4C75-B645-76843C590A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9">
    <pivotField numFmtId="14"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9">
        <item x="1"/>
        <item x="6"/>
        <item x="4"/>
        <item x="3"/>
        <item x="2"/>
        <item x="5"/>
        <item x="0"/>
        <item x="7"/>
        <item t="default"/>
      </items>
    </pivotField>
    <pivotField showAll="0"/>
    <pivotField showAll="0">
      <items count="9">
        <item x="5"/>
        <item x="0"/>
        <item x="3"/>
        <item x="2"/>
        <item x="1"/>
        <item x="7"/>
        <item x="6"/>
        <item x="4"/>
        <item t="default"/>
      </items>
    </pivotField>
    <pivotField showAll="0"/>
    <pivotField showAll="0"/>
    <pivotField dataField="1" showAll="0"/>
    <pivotField showAll="0">
      <items count="25">
        <item x="1"/>
        <item x="17"/>
        <item x="5"/>
        <item x="10"/>
        <item x="19"/>
        <item x="16"/>
        <item x="12"/>
        <item x="22"/>
        <item x="2"/>
        <item x="20"/>
        <item x="15"/>
        <item x="8"/>
        <item x="18"/>
        <item x="13"/>
        <item x="9"/>
        <item x="11"/>
        <item x="6"/>
        <item x="23"/>
        <item x="21"/>
        <item x="7"/>
        <item x="3"/>
        <item x="0"/>
        <item x="4"/>
        <item x="14"/>
        <item t="default"/>
      </items>
    </pivotField>
  </pivotFields>
  <rowFields count="1">
    <field x="1"/>
  </rowFields>
  <rowItems count="5">
    <i>
      <x v="1"/>
    </i>
    <i>
      <x v="2"/>
    </i>
    <i>
      <x v="3"/>
    </i>
    <i>
      <x/>
    </i>
    <i t="grand">
      <x/>
    </i>
  </rowItems>
  <colItems count="1">
    <i/>
  </colItems>
  <dataFields count="1">
    <dataField name="Sum of Revenue" fld="7"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621810-4933-488A-99EE-78805AF4A5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9">
    <pivotField numFmtId="14" showAll="0"/>
    <pivotField showAll="0">
      <items count="5">
        <item x="3"/>
        <item x="1"/>
        <item x="2"/>
        <item x="0"/>
        <item t="default"/>
      </items>
    </pivotField>
    <pivotField showAll="0">
      <items count="9">
        <item x="1"/>
        <item x="6"/>
        <item x="4"/>
        <item x="3"/>
        <item x="2"/>
        <item x="5"/>
        <item x="0"/>
        <item x="7"/>
        <item t="default"/>
      </items>
    </pivotField>
    <pivotField showAll="0"/>
    <pivotField axis="axisRow" showAll="0" sortType="descending">
      <items count="9">
        <item x="5"/>
        <item x="0"/>
        <item x="3"/>
        <item x="2"/>
        <item x="1"/>
        <item x="7"/>
        <item x="6"/>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25">
        <item x="1"/>
        <item x="17"/>
        <item x="5"/>
        <item x="10"/>
        <item x="19"/>
        <item x="16"/>
        <item x="12"/>
        <item x="22"/>
        <item x="2"/>
        <item x="20"/>
        <item x="15"/>
        <item x="8"/>
        <item x="18"/>
        <item x="13"/>
        <item x="9"/>
        <item x="11"/>
        <item x="6"/>
        <item x="23"/>
        <item x="21"/>
        <item x="7"/>
        <item x="3"/>
        <item x="0"/>
        <item x="4"/>
        <item x="14"/>
        <item t="default"/>
      </items>
    </pivotField>
  </pivotFields>
  <rowFields count="1">
    <field x="4"/>
  </rowFields>
  <rowItems count="9">
    <i>
      <x v="1"/>
    </i>
    <i>
      <x v="6"/>
    </i>
    <i>
      <x v="7"/>
    </i>
    <i>
      <x v="4"/>
    </i>
    <i>
      <x v="3"/>
    </i>
    <i>
      <x/>
    </i>
    <i>
      <x v="5"/>
    </i>
    <i>
      <x v="2"/>
    </i>
    <i t="grand">
      <x/>
    </i>
  </rowItems>
  <colItems count="1">
    <i/>
  </colItems>
  <dataFields count="1">
    <dataField name="Sum of Revenue"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020CD6-73C4-43FE-AF08-0EEF41F42AE0}" sourceName="Region">
  <pivotTables>
    <pivotTable tabId="6" name="PivotTable4"/>
    <pivotTable tabId="3" name="PivotTable1"/>
    <pivotTable tabId="4" name="PivotTable2"/>
    <pivotTable tabId="5" name="PivotTable3"/>
  </pivotTables>
  <data>
    <tabular pivotCacheId="838086468">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652450E-4F2E-40FE-8510-432A5C99D5E3}" sourceName="Product">
  <pivotTables>
    <pivotTable tabId="6" name="PivotTable4"/>
    <pivotTable tabId="3" name="PivotTable1"/>
    <pivotTable tabId="4" name="PivotTable2"/>
    <pivotTable tabId="5" name="PivotTable3"/>
  </pivotTables>
  <data>
    <tabular pivotCacheId="838086468">
      <items count="8">
        <i x="1" s="1"/>
        <i x="6" s="1"/>
        <i x="4" s="1"/>
        <i x="3" s="1"/>
        <i x="2" s="1"/>
        <i x="5"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D67308A-EC4E-426A-BC11-25EC43F57F80}" sourceName="Salesperson">
  <pivotTables>
    <pivotTable tabId="6" name="PivotTable4"/>
    <pivotTable tabId="3" name="PivotTable1"/>
    <pivotTable tabId="4" name="PivotTable2"/>
    <pivotTable tabId="5" name="PivotTable3"/>
  </pivotTables>
  <data>
    <tabular pivotCacheId="838086468">
      <items count="8">
        <i x="5" s="1"/>
        <i x="0" s="1"/>
        <i x="3" s="1"/>
        <i x="2" s="1"/>
        <i x="1" s="1"/>
        <i x="7" s="1"/>
        <i x="6"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620E1EE-9142-42B9-B0A5-580A936CEE6B}" sourceName="Month">
  <pivotTables>
    <pivotTable tabId="6" name="PivotTable4"/>
    <pivotTable tabId="3" name="PivotTable1"/>
    <pivotTable tabId="4" name="PivotTable2"/>
    <pivotTable tabId="5" name="PivotTable3"/>
  </pivotTables>
  <data>
    <tabular pivotCacheId="838086468">
      <items count="24">
        <i x="1" s="1"/>
        <i x="17" s="1"/>
        <i x="5" s="1"/>
        <i x="10" s="1"/>
        <i x="19" s="1"/>
        <i x="16" s="1"/>
        <i x="12" s="1"/>
        <i x="22" s="1"/>
        <i x="2" s="1"/>
        <i x="20" s="1"/>
        <i x="15" s="1"/>
        <i x="8" s="1"/>
        <i x="18" s="1"/>
        <i x="13" s="1"/>
        <i x="9" s="1"/>
        <i x="11" s="1"/>
        <i x="6" s="1"/>
        <i x="23" s="1"/>
        <i x="21" s="1"/>
        <i x="7" s="1"/>
        <i x="3" s="1"/>
        <i x="0" s="1"/>
        <i x="4"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95EF91-3DDE-40B0-BA7E-FE442D8B2095}" cache="Slicer_Region" caption="Region" rowHeight="247650"/>
  <slicer name="Product" xr10:uid="{0AF54E8C-E28C-40B3-AE33-DBA100502E85}" cache="Slicer_Product" caption="Product" rowHeight="247650"/>
  <slicer name="Salesperson" xr10:uid="{B79A84F8-0252-49BC-8FE8-143E666EB63E}" cache="Slicer_Salesperson" caption="Salesperson" startItem="1" rowHeight="247650"/>
  <slicer name="Month" xr10:uid="{A6E959A9-DF55-4F45-91AC-AF11CE0F310C}" cache="Slicer_Month" caption="Month" startItem="17"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DE5AB34-C881-4DCE-8114-DAB58C7C98B5}" cache="Slicer_Region" caption="Region" rowHeight="247650"/>
  <slicer name="Product 1" xr10:uid="{090A8F06-EA40-4D70-A3FB-8EF223A06D34}" cache="Slicer_Product" caption="Product" rowHeight="247650"/>
  <slicer name="Salesperson 1" xr10:uid="{28C0D480-B27E-4737-96FB-1E56E575D4DD}" cache="Slicer_Salesperson" caption="Salesperson" rowHeight="247650"/>
  <slicer name="Month 1" xr10:uid="{07C2D6EA-D55E-4A1E-9B40-6A00A25FE47F}"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2B6482-09A5-412F-A9D7-305555873BD1}" name="Table2" displayName="Table2" ref="A3:I603" totalsRowShown="0">
  <autoFilter ref="A3:I603" xr:uid="{362B6482-09A5-412F-A9D7-305555873BD1}"/>
  <tableColumns count="9">
    <tableColumn id="1" xr3:uid="{CB50B903-ABC6-480A-ACD2-BBF97645E9A3}" name="Order Date" dataDxfId="2"/>
    <tableColumn id="2" xr3:uid="{37E7E6FB-D4BB-44DD-B6AA-EEA87470313F}" name="Region"/>
    <tableColumn id="3" xr3:uid="{617B7AC4-1594-4256-895F-8F4064F8B1B5}" name="Product"/>
    <tableColumn id="4" xr3:uid="{83A090BF-9210-43C8-8FD9-6720AF9A1443}" name="Category"/>
    <tableColumn id="5" xr3:uid="{090FD8BE-860D-48A2-85EE-91CF095FA36F}" name="Salesperson"/>
    <tableColumn id="6" xr3:uid="{19B9C268-7DF4-4D76-8E13-616C08CC598A}" name="Quantity"/>
    <tableColumn id="7" xr3:uid="{072B0F2D-7EED-424F-BCC8-D37CFA283F47}" name="Unit Price"/>
    <tableColumn id="8" xr3:uid="{52E6CF84-507D-464B-9C77-D0F77BEA0DC4}" name="Revenue"/>
    <tableColumn id="9" xr3:uid="{EFBB5082-DF36-4AD5-A4A8-EAE7DF177AA2}"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B5AA24-284E-40F1-AC46-6962D8D9798E}" name="SalesData" displayName="SalesData" ref="A1:I601" totalsRowShown="0">
  <autoFilter ref="A1:I601" xr:uid="{C1B5AA24-284E-40F1-AC46-6962D8D9798E}"/>
  <tableColumns count="9">
    <tableColumn id="1" xr3:uid="{3128654E-2F8E-47EB-89DE-81F1065E1C58}" name="Order Date" dataDxfId="1"/>
    <tableColumn id="2" xr3:uid="{89435793-2CFE-421F-AD6A-DCBCD87C5F29}" name="Region"/>
    <tableColumn id="3" xr3:uid="{2827C8E2-AAA6-42D1-8B13-4150472903CF}" name="Product"/>
    <tableColumn id="4" xr3:uid="{48F84CF8-21A3-4140-A321-71D32BAFEA2F}" name="Category"/>
    <tableColumn id="5" xr3:uid="{D028B210-8CD0-4675-8C2B-981E51223BEB}" name="Salesperson"/>
    <tableColumn id="6" xr3:uid="{4D5A5188-F069-48BE-9731-BE329D4DC6F5}" name="Quantity"/>
    <tableColumn id="7" xr3:uid="{3B3FB072-70E1-446B-AD5D-2A531BF80A5E}" name="Unit Price"/>
    <tableColumn id="8" xr3:uid="{FB28A7D6-74C5-47DE-9A54-46433B274E7A}" name="Revenue"/>
    <tableColumn id="9" xr3:uid="{A8C61400-FE3B-48F0-93FD-0B0DBA6A7A51}" name="Month" dataDxfId="0">
      <calculatedColumnFormula>TEXT(SalesData[[#This Row],[Order Date]],"mmm-yyyy")</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0E7A1-2604-4EFC-92F8-F165846D8B58}">
  <dimension ref="A1:I603"/>
  <sheetViews>
    <sheetView workbookViewId="0">
      <selection activeCell="A3" sqref="A3:A603"/>
    </sheetView>
  </sheetViews>
  <sheetFormatPr defaultRowHeight="14.4" x14ac:dyDescent="0.3"/>
  <cols>
    <col min="1" max="1" width="12.21875" bestFit="1" customWidth="1"/>
    <col min="2" max="2" width="9" bestFit="1" customWidth="1"/>
    <col min="3" max="3" width="9.77734375" bestFit="1" customWidth="1"/>
    <col min="4" max="4" width="14.88671875" bestFit="1" customWidth="1"/>
    <col min="5" max="5" width="13.44140625" bestFit="1" customWidth="1"/>
    <col min="6" max="6" width="10.33203125" bestFit="1" customWidth="1"/>
    <col min="7" max="7" width="11.33203125" bestFit="1" customWidth="1"/>
    <col min="8" max="8" width="10.21875" bestFit="1" customWidth="1"/>
    <col min="9" max="9" width="9" bestFit="1" customWidth="1"/>
  </cols>
  <sheetData>
    <row r="1" spans="1:9" x14ac:dyDescent="0.3">
      <c r="A1" s="17" t="s">
        <v>63</v>
      </c>
    </row>
    <row r="3" spans="1:9" x14ac:dyDescent="0.3">
      <c r="A3" t="s">
        <v>0</v>
      </c>
      <c r="B3" t="s">
        <v>1</v>
      </c>
      <c r="C3" t="s">
        <v>2</v>
      </c>
      <c r="D3" t="s">
        <v>3</v>
      </c>
      <c r="E3" t="s">
        <v>4</v>
      </c>
      <c r="F3" t="s">
        <v>5</v>
      </c>
      <c r="G3" t="s">
        <v>6</v>
      </c>
      <c r="H3" t="s">
        <v>7</v>
      </c>
      <c r="I3" t="s">
        <v>32</v>
      </c>
    </row>
    <row r="4" spans="1:9" x14ac:dyDescent="0.3">
      <c r="A4" s="1">
        <v>45406</v>
      </c>
      <c r="B4" t="s">
        <v>12</v>
      </c>
      <c r="C4" t="s">
        <v>9</v>
      </c>
      <c r="D4" t="s">
        <v>10</v>
      </c>
      <c r="E4" t="s">
        <v>13</v>
      </c>
      <c r="F4">
        <v>3</v>
      </c>
      <c r="G4">
        <v>32.700000000000003</v>
      </c>
      <c r="H4">
        <v>98.1</v>
      </c>
      <c r="I4" t="s">
        <v>36</v>
      </c>
    </row>
    <row r="5" spans="1:9" x14ac:dyDescent="0.3">
      <c r="A5" s="1">
        <v>45396</v>
      </c>
      <c r="B5" t="s">
        <v>20</v>
      </c>
      <c r="C5" t="s">
        <v>22</v>
      </c>
      <c r="D5" t="s">
        <v>10</v>
      </c>
      <c r="E5" t="s">
        <v>17</v>
      </c>
      <c r="F5">
        <v>4</v>
      </c>
      <c r="G5">
        <v>75.13</v>
      </c>
      <c r="H5">
        <v>300.52</v>
      </c>
      <c r="I5" t="s">
        <v>36</v>
      </c>
    </row>
    <row r="6" spans="1:9" x14ac:dyDescent="0.3">
      <c r="A6" s="1">
        <v>45387</v>
      </c>
      <c r="B6" t="s">
        <v>8</v>
      </c>
      <c r="C6" t="s">
        <v>29</v>
      </c>
      <c r="D6" t="s">
        <v>30</v>
      </c>
      <c r="E6" t="s">
        <v>31</v>
      </c>
      <c r="F6">
        <v>7</v>
      </c>
      <c r="G6">
        <v>299.74</v>
      </c>
      <c r="H6">
        <v>2098.1799999999998</v>
      </c>
      <c r="I6" t="s">
        <v>36</v>
      </c>
    </row>
    <row r="7" spans="1:9" x14ac:dyDescent="0.3">
      <c r="A7" s="1">
        <v>45396</v>
      </c>
      <c r="B7" t="s">
        <v>12</v>
      </c>
      <c r="C7" t="s">
        <v>15</v>
      </c>
      <c r="D7" t="s">
        <v>16</v>
      </c>
      <c r="E7" t="s">
        <v>17</v>
      </c>
      <c r="F7">
        <v>6</v>
      </c>
      <c r="G7">
        <v>369.76</v>
      </c>
      <c r="H7">
        <v>2218.56</v>
      </c>
      <c r="I7" t="s">
        <v>36</v>
      </c>
    </row>
    <row r="8" spans="1:9" x14ac:dyDescent="0.3">
      <c r="A8" s="1">
        <v>45386</v>
      </c>
      <c r="B8" t="s">
        <v>8</v>
      </c>
      <c r="C8" t="s">
        <v>25</v>
      </c>
      <c r="D8" t="s">
        <v>16</v>
      </c>
      <c r="E8" t="s">
        <v>31</v>
      </c>
      <c r="F8">
        <v>3</v>
      </c>
      <c r="G8">
        <v>179.83</v>
      </c>
      <c r="H8">
        <v>539.49</v>
      </c>
      <c r="I8" t="s">
        <v>36</v>
      </c>
    </row>
    <row r="9" spans="1:9" x14ac:dyDescent="0.3">
      <c r="A9" s="1">
        <v>45391</v>
      </c>
      <c r="B9" t="s">
        <v>14</v>
      </c>
      <c r="C9" t="s">
        <v>29</v>
      </c>
      <c r="D9" t="s">
        <v>30</v>
      </c>
      <c r="E9" t="s">
        <v>13</v>
      </c>
      <c r="F9">
        <v>1</v>
      </c>
      <c r="G9">
        <v>346.2</v>
      </c>
      <c r="H9">
        <v>346.2</v>
      </c>
      <c r="I9" t="s">
        <v>36</v>
      </c>
    </row>
    <row r="10" spans="1:9" x14ac:dyDescent="0.3">
      <c r="A10" s="1">
        <v>45395</v>
      </c>
      <c r="B10" t="s">
        <v>12</v>
      </c>
      <c r="C10" t="s">
        <v>29</v>
      </c>
      <c r="D10" t="s">
        <v>30</v>
      </c>
      <c r="E10" t="s">
        <v>31</v>
      </c>
      <c r="F10">
        <v>8</v>
      </c>
      <c r="G10">
        <v>351.16</v>
      </c>
      <c r="H10">
        <v>2809.28</v>
      </c>
      <c r="I10" t="s">
        <v>36</v>
      </c>
    </row>
    <row r="11" spans="1:9" x14ac:dyDescent="0.3">
      <c r="A11" s="1">
        <v>45385</v>
      </c>
      <c r="B11" t="s">
        <v>12</v>
      </c>
      <c r="C11" t="s">
        <v>24</v>
      </c>
      <c r="D11" t="s">
        <v>19</v>
      </c>
      <c r="E11" t="s">
        <v>23</v>
      </c>
      <c r="F11">
        <v>7</v>
      </c>
      <c r="G11">
        <v>230.99</v>
      </c>
      <c r="H11">
        <v>1616.93</v>
      </c>
      <c r="I11" t="s">
        <v>36</v>
      </c>
    </row>
    <row r="12" spans="1:9" x14ac:dyDescent="0.3">
      <c r="A12" s="1">
        <v>45404</v>
      </c>
      <c r="B12" t="s">
        <v>12</v>
      </c>
      <c r="C12" t="s">
        <v>15</v>
      </c>
      <c r="D12" t="s">
        <v>16</v>
      </c>
      <c r="E12" t="s">
        <v>31</v>
      </c>
      <c r="F12">
        <v>6</v>
      </c>
      <c r="G12">
        <v>435.43</v>
      </c>
      <c r="H12">
        <v>2612.58</v>
      </c>
      <c r="I12" t="s">
        <v>36</v>
      </c>
    </row>
    <row r="13" spans="1:9" x14ac:dyDescent="0.3">
      <c r="A13" s="1">
        <v>45409</v>
      </c>
      <c r="B13" t="s">
        <v>14</v>
      </c>
      <c r="C13" t="s">
        <v>24</v>
      </c>
      <c r="D13" t="s">
        <v>19</v>
      </c>
      <c r="E13" t="s">
        <v>27</v>
      </c>
      <c r="F13">
        <v>1</v>
      </c>
      <c r="G13">
        <v>236.98</v>
      </c>
      <c r="H13">
        <v>236.98</v>
      </c>
      <c r="I13" t="s">
        <v>36</v>
      </c>
    </row>
    <row r="14" spans="1:9" x14ac:dyDescent="0.3">
      <c r="A14" s="1">
        <v>45406</v>
      </c>
      <c r="B14" t="s">
        <v>8</v>
      </c>
      <c r="C14" t="s">
        <v>18</v>
      </c>
      <c r="D14" t="s">
        <v>19</v>
      </c>
      <c r="E14" t="s">
        <v>11</v>
      </c>
      <c r="F14">
        <v>1</v>
      </c>
      <c r="G14">
        <v>947.09</v>
      </c>
      <c r="H14">
        <v>947.09</v>
      </c>
      <c r="I14" t="s">
        <v>36</v>
      </c>
    </row>
    <row r="15" spans="1:9" x14ac:dyDescent="0.3">
      <c r="A15" s="1">
        <v>45400</v>
      </c>
      <c r="B15" t="s">
        <v>12</v>
      </c>
      <c r="C15" t="s">
        <v>24</v>
      </c>
      <c r="D15" t="s">
        <v>19</v>
      </c>
      <c r="E15" t="s">
        <v>11</v>
      </c>
      <c r="F15">
        <v>2</v>
      </c>
      <c r="G15">
        <v>234.33</v>
      </c>
      <c r="H15">
        <v>468.66</v>
      </c>
      <c r="I15" t="s">
        <v>36</v>
      </c>
    </row>
    <row r="16" spans="1:9" x14ac:dyDescent="0.3">
      <c r="A16" s="1">
        <v>45406</v>
      </c>
      <c r="B16" t="s">
        <v>8</v>
      </c>
      <c r="C16" t="s">
        <v>24</v>
      </c>
      <c r="D16" t="s">
        <v>19</v>
      </c>
      <c r="E16" t="s">
        <v>13</v>
      </c>
      <c r="F16">
        <v>6</v>
      </c>
      <c r="G16">
        <v>237.9</v>
      </c>
      <c r="H16">
        <v>1427.4</v>
      </c>
      <c r="I16" t="s">
        <v>36</v>
      </c>
    </row>
    <row r="17" spans="1:9" x14ac:dyDescent="0.3">
      <c r="A17" s="1">
        <v>45388</v>
      </c>
      <c r="B17" t="s">
        <v>12</v>
      </c>
      <c r="C17" t="s">
        <v>21</v>
      </c>
      <c r="D17" t="s">
        <v>10</v>
      </c>
      <c r="E17" t="s">
        <v>17</v>
      </c>
      <c r="F17">
        <v>3</v>
      </c>
      <c r="G17">
        <v>45.51</v>
      </c>
      <c r="H17">
        <v>136.53</v>
      </c>
      <c r="I17" t="s">
        <v>36</v>
      </c>
    </row>
    <row r="18" spans="1:9" x14ac:dyDescent="0.3">
      <c r="A18" s="1">
        <v>45391</v>
      </c>
      <c r="B18" t="s">
        <v>14</v>
      </c>
      <c r="C18" t="s">
        <v>18</v>
      </c>
      <c r="D18" t="s">
        <v>19</v>
      </c>
      <c r="E18" t="s">
        <v>27</v>
      </c>
      <c r="F18">
        <v>5</v>
      </c>
      <c r="G18">
        <v>978.51</v>
      </c>
      <c r="H18">
        <v>4892.55</v>
      </c>
      <c r="I18" t="s">
        <v>36</v>
      </c>
    </row>
    <row r="19" spans="1:9" x14ac:dyDescent="0.3">
      <c r="A19" s="1">
        <v>45392</v>
      </c>
      <c r="B19" t="s">
        <v>20</v>
      </c>
      <c r="C19" t="s">
        <v>21</v>
      </c>
      <c r="D19" t="s">
        <v>10</v>
      </c>
      <c r="E19" t="s">
        <v>17</v>
      </c>
      <c r="F19">
        <v>8</v>
      </c>
      <c r="G19">
        <v>46.82</v>
      </c>
      <c r="H19">
        <v>374.56</v>
      </c>
      <c r="I19" t="s">
        <v>36</v>
      </c>
    </row>
    <row r="20" spans="1:9" x14ac:dyDescent="0.3">
      <c r="A20" s="1">
        <v>45403</v>
      </c>
      <c r="B20" t="s">
        <v>12</v>
      </c>
      <c r="C20" t="s">
        <v>18</v>
      </c>
      <c r="D20" t="s">
        <v>19</v>
      </c>
      <c r="E20" t="s">
        <v>31</v>
      </c>
      <c r="F20">
        <v>3</v>
      </c>
      <c r="G20">
        <v>955.82</v>
      </c>
      <c r="H20">
        <v>2867.46</v>
      </c>
      <c r="I20" t="s">
        <v>36</v>
      </c>
    </row>
    <row r="21" spans="1:9" x14ac:dyDescent="0.3">
      <c r="A21" s="1">
        <v>45392</v>
      </c>
      <c r="B21" t="s">
        <v>8</v>
      </c>
      <c r="C21" t="s">
        <v>24</v>
      </c>
      <c r="D21" t="s">
        <v>19</v>
      </c>
      <c r="E21" t="s">
        <v>17</v>
      </c>
      <c r="F21">
        <v>5</v>
      </c>
      <c r="G21">
        <v>248.28</v>
      </c>
      <c r="H21">
        <v>1241.4000000000001</v>
      </c>
      <c r="I21" t="s">
        <v>36</v>
      </c>
    </row>
    <row r="22" spans="1:9" x14ac:dyDescent="0.3">
      <c r="A22" s="1">
        <v>45387</v>
      </c>
      <c r="B22" t="s">
        <v>14</v>
      </c>
      <c r="C22" t="s">
        <v>29</v>
      </c>
      <c r="D22" t="s">
        <v>30</v>
      </c>
      <c r="E22" t="s">
        <v>28</v>
      </c>
      <c r="F22">
        <v>3</v>
      </c>
      <c r="G22">
        <v>290.39</v>
      </c>
      <c r="H22">
        <v>871.17</v>
      </c>
      <c r="I22" t="s">
        <v>36</v>
      </c>
    </row>
    <row r="23" spans="1:9" x14ac:dyDescent="0.3">
      <c r="A23" s="1">
        <v>45394</v>
      </c>
      <c r="B23" t="s">
        <v>8</v>
      </c>
      <c r="C23" t="s">
        <v>21</v>
      </c>
      <c r="D23" t="s">
        <v>10</v>
      </c>
      <c r="E23" t="s">
        <v>13</v>
      </c>
      <c r="F23">
        <v>6</v>
      </c>
      <c r="G23">
        <v>41.41</v>
      </c>
      <c r="H23">
        <v>248.46</v>
      </c>
      <c r="I23" t="s">
        <v>36</v>
      </c>
    </row>
    <row r="24" spans="1:9" x14ac:dyDescent="0.3">
      <c r="A24" s="1">
        <v>45398</v>
      </c>
      <c r="B24" t="s">
        <v>20</v>
      </c>
      <c r="C24" t="s">
        <v>15</v>
      </c>
      <c r="D24" t="s">
        <v>16</v>
      </c>
      <c r="E24" t="s">
        <v>11</v>
      </c>
      <c r="F24">
        <v>3</v>
      </c>
      <c r="G24">
        <v>434.46</v>
      </c>
      <c r="H24">
        <v>1303.3800000000001</v>
      </c>
      <c r="I24" t="s">
        <v>36</v>
      </c>
    </row>
    <row r="25" spans="1:9" x14ac:dyDescent="0.3">
      <c r="A25" s="1">
        <v>45410</v>
      </c>
      <c r="B25" t="s">
        <v>14</v>
      </c>
      <c r="C25" t="s">
        <v>15</v>
      </c>
      <c r="D25" t="s">
        <v>16</v>
      </c>
      <c r="E25" t="s">
        <v>11</v>
      </c>
      <c r="F25">
        <v>7</v>
      </c>
      <c r="G25">
        <v>420.07</v>
      </c>
      <c r="H25">
        <v>2940.49</v>
      </c>
      <c r="I25" t="s">
        <v>36</v>
      </c>
    </row>
    <row r="26" spans="1:9" x14ac:dyDescent="0.3">
      <c r="A26" s="1">
        <v>45401</v>
      </c>
      <c r="B26" t="s">
        <v>14</v>
      </c>
      <c r="C26" t="s">
        <v>9</v>
      </c>
      <c r="D26" t="s">
        <v>10</v>
      </c>
      <c r="E26" t="s">
        <v>28</v>
      </c>
      <c r="F26">
        <v>5</v>
      </c>
      <c r="G26">
        <v>31.53</v>
      </c>
      <c r="H26">
        <v>157.65</v>
      </c>
      <c r="I26" t="s">
        <v>36</v>
      </c>
    </row>
    <row r="27" spans="1:9" x14ac:dyDescent="0.3">
      <c r="A27" s="1">
        <v>45386</v>
      </c>
      <c r="B27" t="s">
        <v>20</v>
      </c>
      <c r="C27" t="s">
        <v>22</v>
      </c>
      <c r="D27" t="s">
        <v>10</v>
      </c>
      <c r="E27" t="s">
        <v>26</v>
      </c>
      <c r="F27">
        <v>3</v>
      </c>
      <c r="G27">
        <v>69.28</v>
      </c>
      <c r="H27">
        <v>207.84</v>
      </c>
      <c r="I27" t="s">
        <v>36</v>
      </c>
    </row>
    <row r="28" spans="1:9" x14ac:dyDescent="0.3">
      <c r="A28" s="1">
        <v>45406</v>
      </c>
      <c r="B28" t="s">
        <v>12</v>
      </c>
      <c r="C28" t="s">
        <v>22</v>
      </c>
      <c r="D28" t="s">
        <v>10</v>
      </c>
      <c r="E28" t="s">
        <v>13</v>
      </c>
      <c r="F28">
        <v>5</v>
      </c>
      <c r="G28">
        <v>71.66</v>
      </c>
      <c r="H28">
        <v>358.3</v>
      </c>
      <c r="I28" t="s">
        <v>36</v>
      </c>
    </row>
    <row r="29" spans="1:9" x14ac:dyDescent="0.3">
      <c r="A29" s="1">
        <v>45397</v>
      </c>
      <c r="B29" t="s">
        <v>8</v>
      </c>
      <c r="C29" t="s">
        <v>29</v>
      </c>
      <c r="D29" t="s">
        <v>30</v>
      </c>
      <c r="E29" t="s">
        <v>26</v>
      </c>
      <c r="F29">
        <v>5</v>
      </c>
      <c r="G29">
        <v>346.01</v>
      </c>
      <c r="H29">
        <v>1730.05</v>
      </c>
      <c r="I29" t="s">
        <v>36</v>
      </c>
    </row>
    <row r="30" spans="1:9" x14ac:dyDescent="0.3">
      <c r="A30" s="1">
        <v>45402</v>
      </c>
      <c r="B30" t="s">
        <v>20</v>
      </c>
      <c r="C30" t="s">
        <v>18</v>
      </c>
      <c r="D30" t="s">
        <v>19</v>
      </c>
      <c r="E30" t="s">
        <v>11</v>
      </c>
      <c r="F30">
        <v>7</v>
      </c>
      <c r="G30">
        <v>817.77</v>
      </c>
      <c r="H30">
        <v>5724.39</v>
      </c>
      <c r="I30" t="s">
        <v>36</v>
      </c>
    </row>
    <row r="31" spans="1:9" x14ac:dyDescent="0.3">
      <c r="A31" s="1">
        <v>45410</v>
      </c>
      <c r="B31" t="s">
        <v>20</v>
      </c>
      <c r="C31" t="s">
        <v>22</v>
      </c>
      <c r="D31" t="s">
        <v>10</v>
      </c>
      <c r="E31" t="s">
        <v>27</v>
      </c>
      <c r="F31">
        <v>1</v>
      </c>
      <c r="G31">
        <v>76.81</v>
      </c>
      <c r="H31">
        <v>76.81</v>
      </c>
      <c r="I31" t="s">
        <v>36</v>
      </c>
    </row>
    <row r="32" spans="1:9" x14ac:dyDescent="0.3">
      <c r="A32" s="1">
        <v>45403</v>
      </c>
      <c r="B32" t="s">
        <v>12</v>
      </c>
      <c r="C32" t="s">
        <v>22</v>
      </c>
      <c r="D32" t="s">
        <v>10</v>
      </c>
      <c r="E32" t="s">
        <v>13</v>
      </c>
      <c r="F32">
        <v>8</v>
      </c>
      <c r="G32">
        <v>65.28</v>
      </c>
      <c r="H32">
        <v>522.24</v>
      </c>
      <c r="I32" t="s">
        <v>36</v>
      </c>
    </row>
    <row r="33" spans="1:9" x14ac:dyDescent="0.3">
      <c r="A33" s="1">
        <v>45410</v>
      </c>
      <c r="B33" t="s">
        <v>20</v>
      </c>
      <c r="C33" t="s">
        <v>25</v>
      </c>
      <c r="D33" t="s">
        <v>16</v>
      </c>
      <c r="E33" t="s">
        <v>23</v>
      </c>
      <c r="F33">
        <v>5</v>
      </c>
      <c r="G33">
        <v>193.18</v>
      </c>
      <c r="H33">
        <v>965.9</v>
      </c>
      <c r="I33" t="s">
        <v>36</v>
      </c>
    </row>
    <row r="34" spans="1:9" x14ac:dyDescent="0.3">
      <c r="A34" s="1">
        <v>45387</v>
      </c>
      <c r="B34" t="s">
        <v>12</v>
      </c>
      <c r="C34" t="s">
        <v>29</v>
      </c>
      <c r="D34" t="s">
        <v>30</v>
      </c>
      <c r="E34" t="s">
        <v>31</v>
      </c>
      <c r="F34">
        <v>2</v>
      </c>
      <c r="G34">
        <v>309.04000000000002</v>
      </c>
      <c r="H34">
        <v>618.08000000000004</v>
      </c>
      <c r="I34" t="s">
        <v>36</v>
      </c>
    </row>
    <row r="35" spans="1:9" x14ac:dyDescent="0.3">
      <c r="A35" s="1">
        <v>45751</v>
      </c>
      <c r="B35" t="s">
        <v>8</v>
      </c>
      <c r="C35" t="s">
        <v>24</v>
      </c>
      <c r="D35" t="s">
        <v>19</v>
      </c>
      <c r="E35" t="s">
        <v>23</v>
      </c>
      <c r="F35">
        <v>4</v>
      </c>
      <c r="G35">
        <v>254.62</v>
      </c>
      <c r="H35">
        <v>1018.48</v>
      </c>
      <c r="I35" t="s">
        <v>37</v>
      </c>
    </row>
    <row r="36" spans="1:9" x14ac:dyDescent="0.3">
      <c r="A36" s="1">
        <v>45762</v>
      </c>
      <c r="B36" t="s">
        <v>20</v>
      </c>
      <c r="C36" t="s">
        <v>22</v>
      </c>
      <c r="D36" t="s">
        <v>10</v>
      </c>
      <c r="E36" t="s">
        <v>23</v>
      </c>
      <c r="F36">
        <v>5</v>
      </c>
      <c r="G36">
        <v>65.59</v>
      </c>
      <c r="H36">
        <v>327.95</v>
      </c>
      <c r="I36" t="s">
        <v>37</v>
      </c>
    </row>
    <row r="37" spans="1:9" x14ac:dyDescent="0.3">
      <c r="A37" s="1">
        <v>45756</v>
      </c>
      <c r="B37" t="s">
        <v>14</v>
      </c>
      <c r="C37" t="s">
        <v>24</v>
      </c>
      <c r="D37" t="s">
        <v>19</v>
      </c>
      <c r="E37" t="s">
        <v>23</v>
      </c>
      <c r="F37">
        <v>1</v>
      </c>
      <c r="G37">
        <v>225.28</v>
      </c>
      <c r="H37">
        <v>225.28</v>
      </c>
      <c r="I37" t="s">
        <v>37</v>
      </c>
    </row>
    <row r="38" spans="1:9" x14ac:dyDescent="0.3">
      <c r="A38" s="1">
        <v>45765</v>
      </c>
      <c r="B38" t="s">
        <v>12</v>
      </c>
      <c r="C38" t="s">
        <v>24</v>
      </c>
      <c r="D38" t="s">
        <v>19</v>
      </c>
      <c r="E38" t="s">
        <v>26</v>
      </c>
      <c r="F38">
        <v>8</v>
      </c>
      <c r="G38">
        <v>260.66000000000003</v>
      </c>
      <c r="H38">
        <v>2085.2800000000002</v>
      </c>
      <c r="I38" t="s">
        <v>37</v>
      </c>
    </row>
    <row r="39" spans="1:9" x14ac:dyDescent="0.3">
      <c r="A39" s="1">
        <v>45761</v>
      </c>
      <c r="B39" t="s">
        <v>8</v>
      </c>
      <c r="C39" t="s">
        <v>21</v>
      </c>
      <c r="D39" t="s">
        <v>10</v>
      </c>
      <c r="E39" t="s">
        <v>23</v>
      </c>
      <c r="F39">
        <v>4</v>
      </c>
      <c r="G39">
        <v>48.34</v>
      </c>
      <c r="H39">
        <v>193.36</v>
      </c>
      <c r="I39" t="s">
        <v>37</v>
      </c>
    </row>
    <row r="40" spans="1:9" x14ac:dyDescent="0.3">
      <c r="A40" s="1">
        <v>45771</v>
      </c>
      <c r="B40" t="s">
        <v>12</v>
      </c>
      <c r="C40" t="s">
        <v>29</v>
      </c>
      <c r="D40" t="s">
        <v>30</v>
      </c>
      <c r="E40" t="s">
        <v>17</v>
      </c>
      <c r="F40">
        <v>4</v>
      </c>
      <c r="G40">
        <v>290.36</v>
      </c>
      <c r="H40">
        <v>1161.44</v>
      </c>
      <c r="I40" t="s">
        <v>37</v>
      </c>
    </row>
    <row r="41" spans="1:9" x14ac:dyDescent="0.3">
      <c r="A41" s="1">
        <v>45756</v>
      </c>
      <c r="B41" t="s">
        <v>8</v>
      </c>
      <c r="C41" t="s">
        <v>15</v>
      </c>
      <c r="D41" t="s">
        <v>16</v>
      </c>
      <c r="E41" t="s">
        <v>11</v>
      </c>
      <c r="F41">
        <v>5</v>
      </c>
      <c r="G41">
        <v>410.58</v>
      </c>
      <c r="H41">
        <v>2052.9</v>
      </c>
      <c r="I41" t="s">
        <v>37</v>
      </c>
    </row>
    <row r="42" spans="1:9" x14ac:dyDescent="0.3">
      <c r="A42" s="1">
        <v>45754</v>
      </c>
      <c r="B42" t="s">
        <v>8</v>
      </c>
      <c r="C42" t="s">
        <v>25</v>
      </c>
      <c r="D42" t="s">
        <v>16</v>
      </c>
      <c r="E42" t="s">
        <v>26</v>
      </c>
      <c r="F42">
        <v>5</v>
      </c>
      <c r="G42">
        <v>185.39</v>
      </c>
      <c r="H42">
        <v>926.95</v>
      </c>
      <c r="I42" t="s">
        <v>37</v>
      </c>
    </row>
    <row r="43" spans="1:9" x14ac:dyDescent="0.3">
      <c r="A43" s="1">
        <v>45776</v>
      </c>
      <c r="B43" t="s">
        <v>12</v>
      </c>
      <c r="C43" t="s">
        <v>15</v>
      </c>
      <c r="D43" t="s">
        <v>16</v>
      </c>
      <c r="E43" t="s">
        <v>11</v>
      </c>
      <c r="F43">
        <v>8</v>
      </c>
      <c r="G43">
        <v>383.56</v>
      </c>
      <c r="H43">
        <v>3068.48</v>
      </c>
      <c r="I43" t="s">
        <v>37</v>
      </c>
    </row>
    <row r="44" spans="1:9" x14ac:dyDescent="0.3">
      <c r="A44" s="1">
        <v>45776</v>
      </c>
      <c r="B44" t="s">
        <v>14</v>
      </c>
      <c r="C44" t="s">
        <v>24</v>
      </c>
      <c r="D44" t="s">
        <v>19</v>
      </c>
      <c r="E44" t="s">
        <v>13</v>
      </c>
      <c r="F44">
        <v>6</v>
      </c>
      <c r="G44">
        <v>267.56</v>
      </c>
      <c r="H44">
        <v>1605.36</v>
      </c>
      <c r="I44" t="s">
        <v>37</v>
      </c>
    </row>
    <row r="45" spans="1:9" x14ac:dyDescent="0.3">
      <c r="A45" s="1">
        <v>45770</v>
      </c>
      <c r="B45" t="s">
        <v>8</v>
      </c>
      <c r="C45" t="s">
        <v>25</v>
      </c>
      <c r="D45" t="s">
        <v>16</v>
      </c>
      <c r="E45" t="s">
        <v>17</v>
      </c>
      <c r="F45">
        <v>3</v>
      </c>
      <c r="G45">
        <v>167.04</v>
      </c>
      <c r="H45">
        <v>501.12</v>
      </c>
      <c r="I45" t="s">
        <v>37</v>
      </c>
    </row>
    <row r="46" spans="1:9" x14ac:dyDescent="0.3">
      <c r="A46" s="1">
        <v>45751</v>
      </c>
      <c r="B46" t="s">
        <v>14</v>
      </c>
      <c r="C46" t="s">
        <v>24</v>
      </c>
      <c r="D46" t="s">
        <v>19</v>
      </c>
      <c r="E46" t="s">
        <v>17</v>
      </c>
      <c r="F46">
        <v>1</v>
      </c>
      <c r="G46">
        <v>264.91000000000003</v>
      </c>
      <c r="H46">
        <v>264.91000000000003</v>
      </c>
      <c r="I46" t="s">
        <v>37</v>
      </c>
    </row>
    <row r="47" spans="1:9" x14ac:dyDescent="0.3">
      <c r="A47" s="1">
        <v>45765</v>
      </c>
      <c r="B47" t="s">
        <v>12</v>
      </c>
      <c r="C47" t="s">
        <v>25</v>
      </c>
      <c r="D47" t="s">
        <v>16</v>
      </c>
      <c r="E47" t="s">
        <v>23</v>
      </c>
      <c r="F47">
        <v>6</v>
      </c>
      <c r="G47">
        <v>174.17</v>
      </c>
      <c r="H47">
        <v>1045.02</v>
      </c>
      <c r="I47" t="s">
        <v>37</v>
      </c>
    </row>
    <row r="48" spans="1:9" x14ac:dyDescent="0.3">
      <c r="A48" s="1">
        <v>45757</v>
      </c>
      <c r="B48" t="s">
        <v>14</v>
      </c>
      <c r="C48" t="s">
        <v>22</v>
      </c>
      <c r="D48" t="s">
        <v>10</v>
      </c>
      <c r="E48" t="s">
        <v>13</v>
      </c>
      <c r="F48">
        <v>4</v>
      </c>
      <c r="G48">
        <v>76.66</v>
      </c>
      <c r="H48">
        <v>306.64</v>
      </c>
      <c r="I48" t="s">
        <v>37</v>
      </c>
    </row>
    <row r="49" spans="1:9" x14ac:dyDescent="0.3">
      <c r="A49" s="1">
        <v>45760</v>
      </c>
      <c r="B49" t="s">
        <v>20</v>
      </c>
      <c r="C49" t="s">
        <v>24</v>
      </c>
      <c r="D49" t="s">
        <v>19</v>
      </c>
      <c r="E49" t="s">
        <v>26</v>
      </c>
      <c r="F49">
        <v>8</v>
      </c>
      <c r="G49">
        <v>252.28</v>
      </c>
      <c r="H49">
        <v>2018.24</v>
      </c>
      <c r="I49" t="s">
        <v>37</v>
      </c>
    </row>
    <row r="50" spans="1:9" x14ac:dyDescent="0.3">
      <c r="A50" s="1">
        <v>45761</v>
      </c>
      <c r="B50" t="s">
        <v>14</v>
      </c>
      <c r="C50" t="s">
        <v>15</v>
      </c>
      <c r="D50" t="s">
        <v>16</v>
      </c>
      <c r="E50" t="s">
        <v>31</v>
      </c>
      <c r="F50">
        <v>8</v>
      </c>
      <c r="G50">
        <v>432.43</v>
      </c>
      <c r="H50">
        <v>3459.44</v>
      </c>
      <c r="I50" t="s">
        <v>37</v>
      </c>
    </row>
    <row r="51" spans="1:9" x14ac:dyDescent="0.3">
      <c r="A51" s="1">
        <v>45773</v>
      </c>
      <c r="B51" t="s">
        <v>14</v>
      </c>
      <c r="C51" t="s">
        <v>15</v>
      </c>
      <c r="D51" t="s">
        <v>16</v>
      </c>
      <c r="E51" t="s">
        <v>28</v>
      </c>
      <c r="F51">
        <v>8</v>
      </c>
      <c r="G51">
        <v>439.44</v>
      </c>
      <c r="H51">
        <v>3515.52</v>
      </c>
      <c r="I51" t="s">
        <v>37</v>
      </c>
    </row>
    <row r="52" spans="1:9" x14ac:dyDescent="0.3">
      <c r="A52" s="1">
        <v>45763</v>
      </c>
      <c r="B52" t="s">
        <v>20</v>
      </c>
      <c r="C52" t="s">
        <v>25</v>
      </c>
      <c r="D52" t="s">
        <v>16</v>
      </c>
      <c r="E52" t="s">
        <v>17</v>
      </c>
      <c r="F52">
        <v>5</v>
      </c>
      <c r="G52">
        <v>196.89</v>
      </c>
      <c r="H52">
        <v>984.45</v>
      </c>
      <c r="I52" t="s">
        <v>37</v>
      </c>
    </row>
    <row r="53" spans="1:9" x14ac:dyDescent="0.3">
      <c r="A53" s="1">
        <v>45768</v>
      </c>
      <c r="B53" t="s">
        <v>12</v>
      </c>
      <c r="C53" t="s">
        <v>24</v>
      </c>
      <c r="D53" t="s">
        <v>19</v>
      </c>
      <c r="E53" t="s">
        <v>27</v>
      </c>
      <c r="F53">
        <v>4</v>
      </c>
      <c r="G53">
        <v>246.87</v>
      </c>
      <c r="H53">
        <v>987.48</v>
      </c>
      <c r="I53" t="s">
        <v>37</v>
      </c>
    </row>
    <row r="54" spans="1:9" x14ac:dyDescent="0.3">
      <c r="A54" s="1">
        <v>45776</v>
      </c>
      <c r="B54" t="s">
        <v>12</v>
      </c>
      <c r="C54" t="s">
        <v>21</v>
      </c>
      <c r="D54" t="s">
        <v>10</v>
      </c>
      <c r="E54" t="s">
        <v>11</v>
      </c>
      <c r="F54">
        <v>4</v>
      </c>
      <c r="G54">
        <v>46.1</v>
      </c>
      <c r="H54">
        <v>184.4</v>
      </c>
      <c r="I54" t="s">
        <v>37</v>
      </c>
    </row>
    <row r="55" spans="1:9" x14ac:dyDescent="0.3">
      <c r="A55" s="1">
        <v>45758</v>
      </c>
      <c r="B55" t="s">
        <v>8</v>
      </c>
      <c r="C55" t="s">
        <v>9</v>
      </c>
      <c r="D55" t="s">
        <v>10</v>
      </c>
      <c r="E55" t="s">
        <v>27</v>
      </c>
      <c r="F55">
        <v>6</v>
      </c>
      <c r="G55">
        <v>31.01</v>
      </c>
      <c r="H55">
        <v>186.06</v>
      </c>
      <c r="I55" t="s">
        <v>37</v>
      </c>
    </row>
    <row r="56" spans="1:9" x14ac:dyDescent="0.3">
      <c r="A56" s="1">
        <v>45520</v>
      </c>
      <c r="B56" t="s">
        <v>14</v>
      </c>
      <c r="C56" t="s">
        <v>15</v>
      </c>
      <c r="D56" t="s">
        <v>16</v>
      </c>
      <c r="E56" t="s">
        <v>17</v>
      </c>
      <c r="F56">
        <v>8</v>
      </c>
      <c r="G56">
        <v>372.48</v>
      </c>
      <c r="H56">
        <v>2979.84</v>
      </c>
      <c r="I56" t="s">
        <v>38</v>
      </c>
    </row>
    <row r="57" spans="1:9" x14ac:dyDescent="0.3">
      <c r="A57" s="1">
        <v>45515</v>
      </c>
      <c r="B57" t="s">
        <v>20</v>
      </c>
      <c r="C57" t="s">
        <v>22</v>
      </c>
      <c r="D57" t="s">
        <v>10</v>
      </c>
      <c r="E57" t="s">
        <v>11</v>
      </c>
      <c r="F57">
        <v>4</v>
      </c>
      <c r="G57">
        <v>67.260000000000005</v>
      </c>
      <c r="H57">
        <v>269.04000000000002</v>
      </c>
      <c r="I57" t="s">
        <v>38</v>
      </c>
    </row>
    <row r="58" spans="1:9" x14ac:dyDescent="0.3">
      <c r="A58" s="1">
        <v>45530</v>
      </c>
      <c r="B58" t="s">
        <v>8</v>
      </c>
      <c r="C58" t="s">
        <v>22</v>
      </c>
      <c r="D58" t="s">
        <v>10</v>
      </c>
      <c r="E58" t="s">
        <v>28</v>
      </c>
      <c r="F58">
        <v>1</v>
      </c>
      <c r="G58">
        <v>70.349999999999994</v>
      </c>
      <c r="H58">
        <v>70.349999999999994</v>
      </c>
      <c r="I58" t="s">
        <v>38</v>
      </c>
    </row>
    <row r="59" spans="1:9" x14ac:dyDescent="0.3">
      <c r="A59" s="1">
        <v>45517</v>
      </c>
      <c r="B59" t="s">
        <v>14</v>
      </c>
      <c r="C59" t="s">
        <v>21</v>
      </c>
      <c r="D59" t="s">
        <v>10</v>
      </c>
      <c r="E59" t="s">
        <v>17</v>
      </c>
      <c r="F59">
        <v>4</v>
      </c>
      <c r="G59">
        <v>45.13</v>
      </c>
      <c r="H59">
        <v>180.52</v>
      </c>
      <c r="I59" t="s">
        <v>38</v>
      </c>
    </row>
    <row r="60" spans="1:9" x14ac:dyDescent="0.3">
      <c r="A60" s="1">
        <v>45512</v>
      </c>
      <c r="B60" t="s">
        <v>14</v>
      </c>
      <c r="C60" t="s">
        <v>29</v>
      </c>
      <c r="D60" t="s">
        <v>30</v>
      </c>
      <c r="E60" t="s">
        <v>13</v>
      </c>
      <c r="F60">
        <v>6</v>
      </c>
      <c r="G60">
        <v>331.79</v>
      </c>
      <c r="H60">
        <v>1990.74</v>
      </c>
      <c r="I60" t="s">
        <v>38</v>
      </c>
    </row>
    <row r="61" spans="1:9" x14ac:dyDescent="0.3">
      <c r="A61" s="1">
        <v>45525</v>
      </c>
      <c r="B61" t="s">
        <v>12</v>
      </c>
      <c r="C61" t="s">
        <v>9</v>
      </c>
      <c r="D61" t="s">
        <v>10</v>
      </c>
      <c r="E61" t="s">
        <v>26</v>
      </c>
      <c r="F61">
        <v>5</v>
      </c>
      <c r="G61">
        <v>30.26</v>
      </c>
      <c r="H61">
        <v>151.30000000000001</v>
      </c>
      <c r="I61" t="s">
        <v>38</v>
      </c>
    </row>
    <row r="62" spans="1:9" x14ac:dyDescent="0.3">
      <c r="A62" s="1">
        <v>45530</v>
      </c>
      <c r="B62" t="s">
        <v>14</v>
      </c>
      <c r="C62" t="s">
        <v>29</v>
      </c>
      <c r="D62" t="s">
        <v>30</v>
      </c>
      <c r="E62" t="s">
        <v>23</v>
      </c>
      <c r="F62">
        <v>1</v>
      </c>
      <c r="G62">
        <v>292.77</v>
      </c>
      <c r="H62">
        <v>292.77</v>
      </c>
      <c r="I62" t="s">
        <v>38</v>
      </c>
    </row>
    <row r="63" spans="1:9" x14ac:dyDescent="0.3">
      <c r="A63" s="1">
        <v>45506</v>
      </c>
      <c r="B63" t="s">
        <v>8</v>
      </c>
      <c r="C63" t="s">
        <v>21</v>
      </c>
      <c r="D63" t="s">
        <v>10</v>
      </c>
      <c r="E63" t="s">
        <v>23</v>
      </c>
      <c r="F63">
        <v>8</v>
      </c>
      <c r="G63">
        <v>43.73</v>
      </c>
      <c r="H63">
        <v>349.84</v>
      </c>
      <c r="I63" t="s">
        <v>38</v>
      </c>
    </row>
    <row r="64" spans="1:9" x14ac:dyDescent="0.3">
      <c r="A64" s="1">
        <v>45516</v>
      </c>
      <c r="B64" t="s">
        <v>8</v>
      </c>
      <c r="C64" t="s">
        <v>22</v>
      </c>
      <c r="D64" t="s">
        <v>10</v>
      </c>
      <c r="E64" t="s">
        <v>17</v>
      </c>
      <c r="F64">
        <v>3</v>
      </c>
      <c r="G64">
        <v>68.989999999999995</v>
      </c>
      <c r="H64">
        <v>206.97</v>
      </c>
      <c r="I64" t="s">
        <v>38</v>
      </c>
    </row>
    <row r="65" spans="1:9" x14ac:dyDescent="0.3">
      <c r="A65" s="1">
        <v>45526</v>
      </c>
      <c r="B65" t="s">
        <v>8</v>
      </c>
      <c r="C65" t="s">
        <v>22</v>
      </c>
      <c r="D65" t="s">
        <v>10</v>
      </c>
      <c r="E65" t="s">
        <v>26</v>
      </c>
      <c r="F65">
        <v>7</v>
      </c>
      <c r="G65">
        <v>71.91</v>
      </c>
      <c r="H65">
        <v>503.37</v>
      </c>
      <c r="I65" t="s">
        <v>38</v>
      </c>
    </row>
    <row r="66" spans="1:9" x14ac:dyDescent="0.3">
      <c r="A66" s="1">
        <v>45508</v>
      </c>
      <c r="B66" t="s">
        <v>12</v>
      </c>
      <c r="C66" t="s">
        <v>25</v>
      </c>
      <c r="D66" t="s">
        <v>16</v>
      </c>
      <c r="E66" t="s">
        <v>13</v>
      </c>
      <c r="F66">
        <v>8</v>
      </c>
      <c r="G66">
        <v>189.2</v>
      </c>
      <c r="H66">
        <v>1513.6</v>
      </c>
      <c r="I66" t="s">
        <v>38</v>
      </c>
    </row>
    <row r="67" spans="1:9" x14ac:dyDescent="0.3">
      <c r="A67" s="1">
        <v>45509</v>
      </c>
      <c r="B67" t="s">
        <v>12</v>
      </c>
      <c r="C67" t="s">
        <v>21</v>
      </c>
      <c r="D67" t="s">
        <v>10</v>
      </c>
      <c r="E67" t="s">
        <v>27</v>
      </c>
      <c r="F67">
        <v>5</v>
      </c>
      <c r="G67">
        <v>43.11</v>
      </c>
      <c r="H67">
        <v>215.55</v>
      </c>
      <c r="I67" t="s">
        <v>38</v>
      </c>
    </row>
    <row r="68" spans="1:9" x14ac:dyDescent="0.3">
      <c r="A68" s="1">
        <v>45516</v>
      </c>
      <c r="B68" t="s">
        <v>20</v>
      </c>
      <c r="C68" t="s">
        <v>9</v>
      </c>
      <c r="D68" t="s">
        <v>10</v>
      </c>
      <c r="E68" t="s">
        <v>23</v>
      </c>
      <c r="F68">
        <v>3</v>
      </c>
      <c r="G68">
        <v>27.04</v>
      </c>
      <c r="H68">
        <v>81.12</v>
      </c>
      <c r="I68" t="s">
        <v>38</v>
      </c>
    </row>
    <row r="69" spans="1:9" x14ac:dyDescent="0.3">
      <c r="A69" s="1">
        <v>45508</v>
      </c>
      <c r="B69" t="s">
        <v>20</v>
      </c>
      <c r="C69" t="s">
        <v>25</v>
      </c>
      <c r="D69" t="s">
        <v>16</v>
      </c>
      <c r="E69" t="s">
        <v>17</v>
      </c>
      <c r="F69">
        <v>2</v>
      </c>
      <c r="G69">
        <v>165.65</v>
      </c>
      <c r="H69">
        <v>331.3</v>
      </c>
      <c r="I69" t="s">
        <v>38</v>
      </c>
    </row>
    <row r="70" spans="1:9" x14ac:dyDescent="0.3">
      <c r="A70" s="1">
        <v>45522</v>
      </c>
      <c r="B70" t="s">
        <v>20</v>
      </c>
      <c r="C70" t="s">
        <v>18</v>
      </c>
      <c r="D70" t="s">
        <v>19</v>
      </c>
      <c r="E70" t="s">
        <v>26</v>
      </c>
      <c r="F70">
        <v>6</v>
      </c>
      <c r="G70">
        <v>912.3</v>
      </c>
      <c r="H70">
        <v>5473.8</v>
      </c>
      <c r="I70" t="s">
        <v>38</v>
      </c>
    </row>
    <row r="71" spans="1:9" x14ac:dyDescent="0.3">
      <c r="A71" s="1">
        <v>45527</v>
      </c>
      <c r="B71" t="s">
        <v>14</v>
      </c>
      <c r="C71" t="s">
        <v>15</v>
      </c>
      <c r="D71" t="s">
        <v>16</v>
      </c>
      <c r="E71" t="s">
        <v>17</v>
      </c>
      <c r="F71">
        <v>6</v>
      </c>
      <c r="G71">
        <v>391.45</v>
      </c>
      <c r="H71">
        <v>2348.6999999999998</v>
      </c>
      <c r="I71" t="s">
        <v>38</v>
      </c>
    </row>
    <row r="72" spans="1:9" x14ac:dyDescent="0.3">
      <c r="A72" s="1">
        <v>45517</v>
      </c>
      <c r="B72" t="s">
        <v>14</v>
      </c>
      <c r="C72" t="s">
        <v>29</v>
      </c>
      <c r="D72" t="s">
        <v>30</v>
      </c>
      <c r="E72" t="s">
        <v>28</v>
      </c>
      <c r="F72">
        <v>8</v>
      </c>
      <c r="G72">
        <v>328.39</v>
      </c>
      <c r="H72">
        <v>2627.12</v>
      </c>
      <c r="I72" t="s">
        <v>38</v>
      </c>
    </row>
    <row r="73" spans="1:9" x14ac:dyDescent="0.3">
      <c r="A73" s="1">
        <v>45526</v>
      </c>
      <c r="B73" t="s">
        <v>14</v>
      </c>
      <c r="C73" t="s">
        <v>15</v>
      </c>
      <c r="D73" t="s">
        <v>16</v>
      </c>
      <c r="E73" t="s">
        <v>17</v>
      </c>
      <c r="F73">
        <v>2</v>
      </c>
      <c r="G73">
        <v>417.8</v>
      </c>
      <c r="H73">
        <v>835.6</v>
      </c>
      <c r="I73" t="s">
        <v>38</v>
      </c>
    </row>
    <row r="74" spans="1:9" x14ac:dyDescent="0.3">
      <c r="A74" s="1">
        <v>45535</v>
      </c>
      <c r="B74" t="s">
        <v>8</v>
      </c>
      <c r="C74" t="s">
        <v>21</v>
      </c>
      <c r="D74" t="s">
        <v>10</v>
      </c>
      <c r="E74" t="s">
        <v>27</v>
      </c>
      <c r="F74">
        <v>8</v>
      </c>
      <c r="G74">
        <v>49.09</v>
      </c>
      <c r="H74">
        <v>392.72</v>
      </c>
      <c r="I74" t="s">
        <v>38</v>
      </c>
    </row>
    <row r="75" spans="1:9" x14ac:dyDescent="0.3">
      <c r="A75" s="1">
        <v>45511</v>
      </c>
      <c r="B75" t="s">
        <v>8</v>
      </c>
      <c r="C75" t="s">
        <v>9</v>
      </c>
      <c r="D75" t="s">
        <v>10</v>
      </c>
      <c r="E75" t="s">
        <v>13</v>
      </c>
      <c r="F75">
        <v>7</v>
      </c>
      <c r="G75">
        <v>32.57</v>
      </c>
      <c r="H75">
        <v>227.99</v>
      </c>
      <c r="I75" t="s">
        <v>38</v>
      </c>
    </row>
    <row r="76" spans="1:9" x14ac:dyDescent="0.3">
      <c r="A76" s="1">
        <v>45534</v>
      </c>
      <c r="B76" t="s">
        <v>20</v>
      </c>
      <c r="C76" t="s">
        <v>9</v>
      </c>
      <c r="D76" t="s">
        <v>10</v>
      </c>
      <c r="E76" t="s">
        <v>13</v>
      </c>
      <c r="F76">
        <v>6</v>
      </c>
      <c r="G76">
        <v>31.94</v>
      </c>
      <c r="H76">
        <v>191.64</v>
      </c>
      <c r="I76" t="s">
        <v>38</v>
      </c>
    </row>
    <row r="77" spans="1:9" x14ac:dyDescent="0.3">
      <c r="A77" s="1">
        <v>45510</v>
      </c>
      <c r="B77" t="s">
        <v>8</v>
      </c>
      <c r="C77" t="s">
        <v>15</v>
      </c>
      <c r="D77" t="s">
        <v>16</v>
      </c>
      <c r="E77" t="s">
        <v>23</v>
      </c>
      <c r="F77">
        <v>1</v>
      </c>
      <c r="G77">
        <v>377.27</v>
      </c>
      <c r="H77">
        <v>377.27</v>
      </c>
      <c r="I77" t="s">
        <v>38</v>
      </c>
    </row>
    <row r="78" spans="1:9" x14ac:dyDescent="0.3">
      <c r="A78" s="1">
        <v>45514</v>
      </c>
      <c r="B78" t="s">
        <v>12</v>
      </c>
      <c r="C78" t="s">
        <v>18</v>
      </c>
      <c r="D78" t="s">
        <v>19</v>
      </c>
      <c r="E78" t="s">
        <v>31</v>
      </c>
      <c r="F78">
        <v>7</v>
      </c>
      <c r="G78">
        <v>935.28</v>
      </c>
      <c r="H78">
        <v>6546.96</v>
      </c>
      <c r="I78" t="s">
        <v>38</v>
      </c>
    </row>
    <row r="79" spans="1:9" x14ac:dyDescent="0.3">
      <c r="A79" s="1">
        <v>45532</v>
      </c>
      <c r="B79" t="s">
        <v>14</v>
      </c>
      <c r="C79" t="s">
        <v>29</v>
      </c>
      <c r="D79" t="s">
        <v>30</v>
      </c>
      <c r="E79" t="s">
        <v>17</v>
      </c>
      <c r="F79">
        <v>5</v>
      </c>
      <c r="G79">
        <v>342.75</v>
      </c>
      <c r="H79">
        <v>1713.75</v>
      </c>
      <c r="I79" t="s">
        <v>38</v>
      </c>
    </row>
    <row r="80" spans="1:9" x14ac:dyDescent="0.3">
      <c r="A80" s="1">
        <v>45510</v>
      </c>
      <c r="B80" t="s">
        <v>8</v>
      </c>
      <c r="C80" t="s">
        <v>22</v>
      </c>
      <c r="D80" t="s">
        <v>10</v>
      </c>
      <c r="E80" t="s">
        <v>23</v>
      </c>
      <c r="F80">
        <v>1</v>
      </c>
      <c r="G80">
        <v>72.56</v>
      </c>
      <c r="H80">
        <v>72.56</v>
      </c>
      <c r="I80" t="s">
        <v>38</v>
      </c>
    </row>
    <row r="81" spans="1:9" x14ac:dyDescent="0.3">
      <c r="A81" s="1">
        <v>45507</v>
      </c>
      <c r="B81" t="s">
        <v>14</v>
      </c>
      <c r="C81" t="s">
        <v>22</v>
      </c>
      <c r="D81" t="s">
        <v>10</v>
      </c>
      <c r="E81" t="s">
        <v>11</v>
      </c>
      <c r="F81">
        <v>4</v>
      </c>
      <c r="G81">
        <v>75.540000000000006</v>
      </c>
      <c r="H81">
        <v>302.16000000000003</v>
      </c>
      <c r="I81" t="s">
        <v>38</v>
      </c>
    </row>
    <row r="82" spans="1:9" x14ac:dyDescent="0.3">
      <c r="A82" s="1">
        <v>45507</v>
      </c>
      <c r="B82" t="s">
        <v>12</v>
      </c>
      <c r="C82" t="s">
        <v>24</v>
      </c>
      <c r="D82" t="s">
        <v>19</v>
      </c>
      <c r="E82" t="s">
        <v>28</v>
      </c>
      <c r="F82">
        <v>6</v>
      </c>
      <c r="G82">
        <v>229.18</v>
      </c>
      <c r="H82">
        <v>1375.08</v>
      </c>
      <c r="I82" t="s">
        <v>38</v>
      </c>
    </row>
    <row r="83" spans="1:9" x14ac:dyDescent="0.3">
      <c r="A83" s="1">
        <v>45534</v>
      </c>
      <c r="B83" t="s">
        <v>8</v>
      </c>
      <c r="C83" t="s">
        <v>15</v>
      </c>
      <c r="D83" t="s">
        <v>16</v>
      </c>
      <c r="E83" t="s">
        <v>28</v>
      </c>
      <c r="F83">
        <v>6</v>
      </c>
      <c r="G83">
        <v>369.51</v>
      </c>
      <c r="H83">
        <v>2217.06</v>
      </c>
      <c r="I83" t="s">
        <v>38</v>
      </c>
    </row>
    <row r="84" spans="1:9" x14ac:dyDescent="0.3">
      <c r="A84" s="1">
        <v>45519</v>
      </c>
      <c r="B84" t="s">
        <v>12</v>
      </c>
      <c r="C84" t="s">
        <v>18</v>
      </c>
      <c r="D84" t="s">
        <v>19</v>
      </c>
      <c r="E84" t="s">
        <v>23</v>
      </c>
      <c r="F84">
        <v>8</v>
      </c>
      <c r="G84">
        <v>823.28</v>
      </c>
      <c r="H84">
        <v>6586.24</v>
      </c>
      <c r="I84" t="s">
        <v>38</v>
      </c>
    </row>
    <row r="85" spans="1:9" x14ac:dyDescent="0.3">
      <c r="A85" s="1">
        <v>45525</v>
      </c>
      <c r="B85" t="s">
        <v>12</v>
      </c>
      <c r="C85" t="s">
        <v>24</v>
      </c>
      <c r="D85" t="s">
        <v>19</v>
      </c>
      <c r="E85" t="s">
        <v>13</v>
      </c>
      <c r="F85">
        <v>5</v>
      </c>
      <c r="G85">
        <v>259.79000000000002</v>
      </c>
      <c r="H85">
        <v>1298.95</v>
      </c>
      <c r="I85" t="s">
        <v>38</v>
      </c>
    </row>
    <row r="86" spans="1:9" x14ac:dyDescent="0.3">
      <c r="A86" s="1">
        <v>45520</v>
      </c>
      <c r="B86" t="s">
        <v>12</v>
      </c>
      <c r="C86" t="s">
        <v>18</v>
      </c>
      <c r="D86" t="s">
        <v>19</v>
      </c>
      <c r="E86" t="s">
        <v>26</v>
      </c>
      <c r="F86">
        <v>6</v>
      </c>
      <c r="G86">
        <v>891.82</v>
      </c>
      <c r="H86">
        <v>5350.92</v>
      </c>
      <c r="I86" t="s">
        <v>38</v>
      </c>
    </row>
    <row r="87" spans="1:9" x14ac:dyDescent="0.3">
      <c r="A87" s="1">
        <v>45507</v>
      </c>
      <c r="B87" t="s">
        <v>14</v>
      </c>
      <c r="C87" t="s">
        <v>25</v>
      </c>
      <c r="D87" t="s">
        <v>16</v>
      </c>
      <c r="E87" t="s">
        <v>28</v>
      </c>
      <c r="F87">
        <v>5</v>
      </c>
      <c r="G87">
        <v>169.67</v>
      </c>
      <c r="H87">
        <v>848.35</v>
      </c>
      <c r="I87" t="s">
        <v>38</v>
      </c>
    </row>
    <row r="88" spans="1:9" x14ac:dyDescent="0.3">
      <c r="A88" s="1">
        <v>45510</v>
      </c>
      <c r="B88" t="s">
        <v>20</v>
      </c>
      <c r="C88" t="s">
        <v>9</v>
      </c>
      <c r="D88" t="s">
        <v>10</v>
      </c>
      <c r="E88" t="s">
        <v>23</v>
      </c>
      <c r="F88">
        <v>7</v>
      </c>
      <c r="G88">
        <v>31.7</v>
      </c>
      <c r="H88">
        <v>221.9</v>
      </c>
      <c r="I88" t="s">
        <v>38</v>
      </c>
    </row>
    <row r="89" spans="1:9" x14ac:dyDescent="0.3">
      <c r="A89" s="1">
        <v>45532</v>
      </c>
      <c r="B89" t="s">
        <v>8</v>
      </c>
      <c r="C89" t="s">
        <v>15</v>
      </c>
      <c r="D89" t="s">
        <v>16</v>
      </c>
      <c r="E89" t="s">
        <v>13</v>
      </c>
      <c r="F89">
        <v>6</v>
      </c>
      <c r="G89">
        <v>410.67</v>
      </c>
      <c r="H89">
        <v>2464.02</v>
      </c>
      <c r="I89" t="s">
        <v>38</v>
      </c>
    </row>
    <row r="90" spans="1:9" x14ac:dyDescent="0.3">
      <c r="A90" s="1">
        <v>45522</v>
      </c>
      <c r="B90" t="s">
        <v>20</v>
      </c>
      <c r="C90" t="s">
        <v>29</v>
      </c>
      <c r="D90" t="s">
        <v>30</v>
      </c>
      <c r="E90" t="s">
        <v>11</v>
      </c>
      <c r="F90">
        <v>5</v>
      </c>
      <c r="G90">
        <v>296.25</v>
      </c>
      <c r="H90">
        <v>1481.25</v>
      </c>
      <c r="I90" t="s">
        <v>38</v>
      </c>
    </row>
    <row r="91" spans="1:9" x14ac:dyDescent="0.3">
      <c r="A91" s="1">
        <v>45896</v>
      </c>
      <c r="B91" t="s">
        <v>8</v>
      </c>
      <c r="C91" t="s">
        <v>9</v>
      </c>
      <c r="D91" t="s">
        <v>10</v>
      </c>
      <c r="E91" t="s">
        <v>11</v>
      </c>
      <c r="F91">
        <v>2</v>
      </c>
      <c r="G91">
        <v>32.82</v>
      </c>
      <c r="H91">
        <v>65.64</v>
      </c>
      <c r="I91" t="s">
        <v>39</v>
      </c>
    </row>
    <row r="92" spans="1:9" x14ac:dyDescent="0.3">
      <c r="A92" s="1">
        <v>45895</v>
      </c>
      <c r="B92" t="s">
        <v>12</v>
      </c>
      <c r="C92" t="s">
        <v>25</v>
      </c>
      <c r="D92" t="s">
        <v>16</v>
      </c>
      <c r="E92" t="s">
        <v>26</v>
      </c>
      <c r="F92">
        <v>3</v>
      </c>
      <c r="G92">
        <v>163.66999999999999</v>
      </c>
      <c r="H92">
        <v>491.01</v>
      </c>
      <c r="I92" t="s">
        <v>39</v>
      </c>
    </row>
    <row r="93" spans="1:9" x14ac:dyDescent="0.3">
      <c r="A93" s="1">
        <v>45883</v>
      </c>
      <c r="B93" t="s">
        <v>12</v>
      </c>
      <c r="C93" t="s">
        <v>22</v>
      </c>
      <c r="D93" t="s">
        <v>10</v>
      </c>
      <c r="E93" t="s">
        <v>11</v>
      </c>
      <c r="F93">
        <v>2</v>
      </c>
      <c r="G93">
        <v>67.55</v>
      </c>
      <c r="H93">
        <v>135.1</v>
      </c>
      <c r="I93" t="s">
        <v>39</v>
      </c>
    </row>
    <row r="94" spans="1:9" x14ac:dyDescent="0.3">
      <c r="A94" s="1">
        <v>45872</v>
      </c>
      <c r="B94" t="s">
        <v>14</v>
      </c>
      <c r="C94" t="s">
        <v>9</v>
      </c>
      <c r="D94" t="s">
        <v>10</v>
      </c>
      <c r="E94" t="s">
        <v>13</v>
      </c>
      <c r="F94">
        <v>5</v>
      </c>
      <c r="G94">
        <v>28.37</v>
      </c>
      <c r="H94">
        <v>141.85</v>
      </c>
      <c r="I94" t="s">
        <v>39</v>
      </c>
    </row>
    <row r="95" spans="1:9" x14ac:dyDescent="0.3">
      <c r="A95" s="1">
        <v>45890</v>
      </c>
      <c r="B95" t="s">
        <v>14</v>
      </c>
      <c r="C95" t="s">
        <v>22</v>
      </c>
      <c r="D95" t="s">
        <v>10</v>
      </c>
      <c r="E95" t="s">
        <v>28</v>
      </c>
      <c r="F95">
        <v>5</v>
      </c>
      <c r="G95">
        <v>64.540000000000006</v>
      </c>
      <c r="H95">
        <v>322.7</v>
      </c>
      <c r="I95" t="s">
        <v>39</v>
      </c>
    </row>
    <row r="96" spans="1:9" x14ac:dyDescent="0.3">
      <c r="A96" s="1">
        <v>45889</v>
      </c>
      <c r="B96" t="s">
        <v>20</v>
      </c>
      <c r="C96" t="s">
        <v>24</v>
      </c>
      <c r="D96" t="s">
        <v>19</v>
      </c>
      <c r="E96" t="s">
        <v>17</v>
      </c>
      <c r="F96">
        <v>1</v>
      </c>
      <c r="G96">
        <v>246.36</v>
      </c>
      <c r="H96">
        <v>246.36</v>
      </c>
      <c r="I96" t="s">
        <v>39</v>
      </c>
    </row>
    <row r="97" spans="1:9" x14ac:dyDescent="0.3">
      <c r="A97" s="1">
        <v>45872</v>
      </c>
      <c r="B97" t="s">
        <v>14</v>
      </c>
      <c r="C97" t="s">
        <v>21</v>
      </c>
      <c r="D97" t="s">
        <v>10</v>
      </c>
      <c r="E97" t="s">
        <v>28</v>
      </c>
      <c r="F97">
        <v>7</v>
      </c>
      <c r="G97">
        <v>41.34</v>
      </c>
      <c r="H97">
        <v>289.38</v>
      </c>
      <c r="I97" t="s">
        <v>39</v>
      </c>
    </row>
    <row r="98" spans="1:9" x14ac:dyDescent="0.3">
      <c r="A98" s="1">
        <v>45894</v>
      </c>
      <c r="B98" t="s">
        <v>14</v>
      </c>
      <c r="C98" t="s">
        <v>21</v>
      </c>
      <c r="D98" t="s">
        <v>10</v>
      </c>
      <c r="E98" t="s">
        <v>26</v>
      </c>
      <c r="F98">
        <v>7</v>
      </c>
      <c r="G98">
        <v>42.7</v>
      </c>
      <c r="H98">
        <v>298.89999999999998</v>
      </c>
      <c r="I98" t="s">
        <v>39</v>
      </c>
    </row>
    <row r="99" spans="1:9" x14ac:dyDescent="0.3">
      <c r="A99" s="1">
        <v>45894</v>
      </c>
      <c r="B99" t="s">
        <v>14</v>
      </c>
      <c r="C99" t="s">
        <v>29</v>
      </c>
      <c r="D99" t="s">
        <v>30</v>
      </c>
      <c r="E99" t="s">
        <v>31</v>
      </c>
      <c r="F99">
        <v>8</v>
      </c>
      <c r="G99">
        <v>345.09</v>
      </c>
      <c r="H99">
        <v>2760.72</v>
      </c>
      <c r="I99" t="s">
        <v>39</v>
      </c>
    </row>
    <row r="100" spans="1:9" x14ac:dyDescent="0.3">
      <c r="A100" s="1">
        <v>45876</v>
      </c>
      <c r="B100" t="s">
        <v>8</v>
      </c>
      <c r="C100" t="s">
        <v>25</v>
      </c>
      <c r="D100" t="s">
        <v>16</v>
      </c>
      <c r="E100" t="s">
        <v>26</v>
      </c>
      <c r="F100">
        <v>4</v>
      </c>
      <c r="G100">
        <v>196.69</v>
      </c>
      <c r="H100">
        <v>786.76</v>
      </c>
      <c r="I100" t="s">
        <v>39</v>
      </c>
    </row>
    <row r="101" spans="1:9" x14ac:dyDescent="0.3">
      <c r="A101" s="1">
        <v>45882</v>
      </c>
      <c r="B101" t="s">
        <v>12</v>
      </c>
      <c r="C101" t="s">
        <v>24</v>
      </c>
      <c r="D101" t="s">
        <v>19</v>
      </c>
      <c r="E101" t="s">
        <v>27</v>
      </c>
      <c r="F101">
        <v>6</v>
      </c>
      <c r="G101">
        <v>267.64999999999998</v>
      </c>
      <c r="H101">
        <v>1605.9</v>
      </c>
      <c r="I101" t="s">
        <v>39</v>
      </c>
    </row>
    <row r="102" spans="1:9" x14ac:dyDescent="0.3">
      <c r="A102" s="1">
        <v>45885</v>
      </c>
      <c r="B102" t="s">
        <v>12</v>
      </c>
      <c r="C102" t="s">
        <v>22</v>
      </c>
      <c r="D102" t="s">
        <v>10</v>
      </c>
      <c r="E102" t="s">
        <v>26</v>
      </c>
      <c r="F102">
        <v>5</v>
      </c>
      <c r="G102">
        <v>65.430000000000007</v>
      </c>
      <c r="H102">
        <v>327.14999999999998</v>
      </c>
      <c r="I102" t="s">
        <v>39</v>
      </c>
    </row>
    <row r="103" spans="1:9" x14ac:dyDescent="0.3">
      <c r="A103" s="1">
        <v>45890</v>
      </c>
      <c r="B103" t="s">
        <v>20</v>
      </c>
      <c r="C103" t="s">
        <v>15</v>
      </c>
      <c r="D103" t="s">
        <v>16</v>
      </c>
      <c r="E103" t="s">
        <v>17</v>
      </c>
      <c r="F103">
        <v>5</v>
      </c>
      <c r="G103">
        <v>382.39</v>
      </c>
      <c r="H103">
        <v>1911.95</v>
      </c>
      <c r="I103" t="s">
        <v>39</v>
      </c>
    </row>
    <row r="104" spans="1:9" x14ac:dyDescent="0.3">
      <c r="A104" s="1">
        <v>45875</v>
      </c>
      <c r="B104" t="s">
        <v>20</v>
      </c>
      <c r="C104" t="s">
        <v>25</v>
      </c>
      <c r="D104" t="s">
        <v>16</v>
      </c>
      <c r="E104" t="s">
        <v>27</v>
      </c>
      <c r="F104">
        <v>3</v>
      </c>
      <c r="G104">
        <v>165.52</v>
      </c>
      <c r="H104">
        <v>496.56</v>
      </c>
      <c r="I104" t="s">
        <v>39</v>
      </c>
    </row>
    <row r="105" spans="1:9" x14ac:dyDescent="0.3">
      <c r="A105" s="1">
        <v>45884</v>
      </c>
      <c r="B105" t="s">
        <v>14</v>
      </c>
      <c r="C105" t="s">
        <v>29</v>
      </c>
      <c r="D105" t="s">
        <v>30</v>
      </c>
      <c r="E105" t="s">
        <v>31</v>
      </c>
      <c r="F105">
        <v>8</v>
      </c>
      <c r="G105">
        <v>318.3</v>
      </c>
      <c r="H105">
        <v>2546.4</v>
      </c>
      <c r="I105" t="s">
        <v>39</v>
      </c>
    </row>
    <row r="106" spans="1:9" x14ac:dyDescent="0.3">
      <c r="A106" s="1">
        <v>45900</v>
      </c>
      <c r="B106" t="s">
        <v>14</v>
      </c>
      <c r="C106" t="s">
        <v>29</v>
      </c>
      <c r="D106" t="s">
        <v>30</v>
      </c>
      <c r="E106" t="s">
        <v>13</v>
      </c>
      <c r="F106">
        <v>5</v>
      </c>
      <c r="G106">
        <v>299.08</v>
      </c>
      <c r="H106">
        <v>1495.4</v>
      </c>
      <c r="I106" t="s">
        <v>39</v>
      </c>
    </row>
    <row r="107" spans="1:9" x14ac:dyDescent="0.3">
      <c r="A107" s="1">
        <v>45889</v>
      </c>
      <c r="B107" t="s">
        <v>12</v>
      </c>
      <c r="C107" t="s">
        <v>29</v>
      </c>
      <c r="D107" t="s">
        <v>30</v>
      </c>
      <c r="E107" t="s">
        <v>31</v>
      </c>
      <c r="F107">
        <v>1</v>
      </c>
      <c r="G107">
        <v>311.98</v>
      </c>
      <c r="H107">
        <v>311.98</v>
      </c>
      <c r="I107" t="s">
        <v>39</v>
      </c>
    </row>
    <row r="108" spans="1:9" x14ac:dyDescent="0.3">
      <c r="A108" s="1">
        <v>45870</v>
      </c>
      <c r="B108" t="s">
        <v>8</v>
      </c>
      <c r="C108" t="s">
        <v>18</v>
      </c>
      <c r="D108" t="s">
        <v>19</v>
      </c>
      <c r="E108" t="s">
        <v>26</v>
      </c>
      <c r="F108">
        <v>3</v>
      </c>
      <c r="G108">
        <v>922.65</v>
      </c>
      <c r="H108">
        <v>2767.95</v>
      </c>
      <c r="I108" t="s">
        <v>39</v>
      </c>
    </row>
    <row r="109" spans="1:9" x14ac:dyDescent="0.3">
      <c r="A109" s="1">
        <v>45888</v>
      </c>
      <c r="B109" t="s">
        <v>12</v>
      </c>
      <c r="C109" t="s">
        <v>15</v>
      </c>
      <c r="D109" t="s">
        <v>16</v>
      </c>
      <c r="E109" t="s">
        <v>23</v>
      </c>
      <c r="F109">
        <v>6</v>
      </c>
      <c r="G109">
        <v>366.51</v>
      </c>
      <c r="H109">
        <v>2199.06</v>
      </c>
      <c r="I109" t="s">
        <v>39</v>
      </c>
    </row>
    <row r="110" spans="1:9" x14ac:dyDescent="0.3">
      <c r="A110" s="1">
        <v>45886</v>
      </c>
      <c r="B110" t="s">
        <v>14</v>
      </c>
      <c r="C110" t="s">
        <v>22</v>
      </c>
      <c r="D110" t="s">
        <v>10</v>
      </c>
      <c r="E110" t="s">
        <v>13</v>
      </c>
      <c r="F110">
        <v>8</v>
      </c>
      <c r="G110">
        <v>67.33</v>
      </c>
      <c r="H110">
        <v>538.64</v>
      </c>
      <c r="I110" t="s">
        <v>39</v>
      </c>
    </row>
    <row r="111" spans="1:9" x14ac:dyDescent="0.3">
      <c r="A111" s="1">
        <v>45882</v>
      </c>
      <c r="B111" t="s">
        <v>14</v>
      </c>
      <c r="C111" t="s">
        <v>29</v>
      </c>
      <c r="D111" t="s">
        <v>30</v>
      </c>
      <c r="E111" t="s">
        <v>31</v>
      </c>
      <c r="F111">
        <v>3</v>
      </c>
      <c r="G111">
        <v>289.69</v>
      </c>
      <c r="H111">
        <v>869.07</v>
      </c>
      <c r="I111" t="s">
        <v>39</v>
      </c>
    </row>
    <row r="112" spans="1:9" x14ac:dyDescent="0.3">
      <c r="A112" s="1">
        <v>45874</v>
      </c>
      <c r="B112" t="s">
        <v>12</v>
      </c>
      <c r="C112" t="s">
        <v>21</v>
      </c>
      <c r="D112" t="s">
        <v>10</v>
      </c>
      <c r="E112" t="s">
        <v>23</v>
      </c>
      <c r="F112">
        <v>5</v>
      </c>
      <c r="G112">
        <v>48.39</v>
      </c>
      <c r="H112">
        <v>241.95</v>
      </c>
      <c r="I112" t="s">
        <v>39</v>
      </c>
    </row>
    <row r="113" spans="1:9" x14ac:dyDescent="0.3">
      <c r="A113" s="1">
        <v>45885</v>
      </c>
      <c r="B113" t="s">
        <v>20</v>
      </c>
      <c r="C113" t="s">
        <v>25</v>
      </c>
      <c r="D113" t="s">
        <v>16</v>
      </c>
      <c r="E113" t="s">
        <v>13</v>
      </c>
      <c r="F113">
        <v>7</v>
      </c>
      <c r="G113">
        <v>162.52000000000001</v>
      </c>
      <c r="H113">
        <v>1137.6400000000001</v>
      </c>
      <c r="I113" t="s">
        <v>39</v>
      </c>
    </row>
    <row r="114" spans="1:9" x14ac:dyDescent="0.3">
      <c r="A114" s="1">
        <v>45881</v>
      </c>
      <c r="B114" t="s">
        <v>14</v>
      </c>
      <c r="C114" t="s">
        <v>22</v>
      </c>
      <c r="D114" t="s">
        <v>10</v>
      </c>
      <c r="E114" t="s">
        <v>13</v>
      </c>
      <c r="F114">
        <v>2</v>
      </c>
      <c r="G114">
        <v>63.57</v>
      </c>
      <c r="H114">
        <v>127.14</v>
      </c>
      <c r="I114" t="s">
        <v>39</v>
      </c>
    </row>
    <row r="115" spans="1:9" x14ac:dyDescent="0.3">
      <c r="A115" s="1">
        <v>45640</v>
      </c>
      <c r="B115" t="s">
        <v>8</v>
      </c>
      <c r="C115" t="s">
        <v>22</v>
      </c>
      <c r="D115" t="s">
        <v>10</v>
      </c>
      <c r="E115" t="s">
        <v>28</v>
      </c>
      <c r="F115">
        <v>2</v>
      </c>
      <c r="G115">
        <v>74.319999999999993</v>
      </c>
      <c r="H115">
        <v>148.63999999999999</v>
      </c>
      <c r="I115" t="s">
        <v>40</v>
      </c>
    </row>
    <row r="116" spans="1:9" x14ac:dyDescent="0.3">
      <c r="A116" s="1">
        <v>45636</v>
      </c>
      <c r="B116" t="s">
        <v>14</v>
      </c>
      <c r="C116" t="s">
        <v>29</v>
      </c>
      <c r="D116" t="s">
        <v>30</v>
      </c>
      <c r="E116" t="s">
        <v>17</v>
      </c>
      <c r="F116">
        <v>8</v>
      </c>
      <c r="G116">
        <v>316.17</v>
      </c>
      <c r="H116">
        <v>2529.36</v>
      </c>
      <c r="I116" t="s">
        <v>40</v>
      </c>
    </row>
    <row r="117" spans="1:9" x14ac:dyDescent="0.3">
      <c r="A117" s="1">
        <v>45644</v>
      </c>
      <c r="B117" t="s">
        <v>8</v>
      </c>
      <c r="C117" t="s">
        <v>22</v>
      </c>
      <c r="D117" t="s">
        <v>10</v>
      </c>
      <c r="E117" t="s">
        <v>27</v>
      </c>
      <c r="F117">
        <v>8</v>
      </c>
      <c r="G117">
        <v>72.28</v>
      </c>
      <c r="H117">
        <v>578.24</v>
      </c>
      <c r="I117" t="s">
        <v>40</v>
      </c>
    </row>
    <row r="118" spans="1:9" x14ac:dyDescent="0.3">
      <c r="A118" s="1">
        <v>45655</v>
      </c>
      <c r="B118" t="s">
        <v>20</v>
      </c>
      <c r="C118" t="s">
        <v>9</v>
      </c>
      <c r="D118" t="s">
        <v>10</v>
      </c>
      <c r="E118" t="s">
        <v>27</v>
      </c>
      <c r="F118">
        <v>1</v>
      </c>
      <c r="G118">
        <v>27.44</v>
      </c>
      <c r="H118">
        <v>27.44</v>
      </c>
      <c r="I118" t="s">
        <v>40</v>
      </c>
    </row>
    <row r="119" spans="1:9" x14ac:dyDescent="0.3">
      <c r="A119" s="1">
        <v>45640</v>
      </c>
      <c r="B119" t="s">
        <v>20</v>
      </c>
      <c r="C119" t="s">
        <v>9</v>
      </c>
      <c r="D119" t="s">
        <v>10</v>
      </c>
      <c r="E119" t="s">
        <v>17</v>
      </c>
      <c r="F119">
        <v>1</v>
      </c>
      <c r="G119">
        <v>31.03</v>
      </c>
      <c r="H119">
        <v>31.03</v>
      </c>
      <c r="I119" t="s">
        <v>40</v>
      </c>
    </row>
    <row r="120" spans="1:9" x14ac:dyDescent="0.3">
      <c r="A120" s="1">
        <v>45638</v>
      </c>
      <c r="B120" t="s">
        <v>14</v>
      </c>
      <c r="C120" t="s">
        <v>9</v>
      </c>
      <c r="D120" t="s">
        <v>10</v>
      </c>
      <c r="E120" t="s">
        <v>13</v>
      </c>
      <c r="F120">
        <v>3</v>
      </c>
      <c r="G120">
        <v>29.21</v>
      </c>
      <c r="H120">
        <v>87.63</v>
      </c>
      <c r="I120" t="s">
        <v>40</v>
      </c>
    </row>
    <row r="121" spans="1:9" x14ac:dyDescent="0.3">
      <c r="A121" s="1">
        <v>45630</v>
      </c>
      <c r="B121" t="s">
        <v>14</v>
      </c>
      <c r="C121" t="s">
        <v>24</v>
      </c>
      <c r="D121" t="s">
        <v>19</v>
      </c>
      <c r="E121" t="s">
        <v>27</v>
      </c>
      <c r="F121">
        <v>6</v>
      </c>
      <c r="G121">
        <v>257.27</v>
      </c>
      <c r="H121">
        <v>1543.62</v>
      </c>
      <c r="I121" t="s">
        <v>40</v>
      </c>
    </row>
    <row r="122" spans="1:9" x14ac:dyDescent="0.3">
      <c r="A122" s="1">
        <v>45654</v>
      </c>
      <c r="B122" t="s">
        <v>20</v>
      </c>
      <c r="C122" t="s">
        <v>9</v>
      </c>
      <c r="D122" t="s">
        <v>10</v>
      </c>
      <c r="E122" t="s">
        <v>27</v>
      </c>
      <c r="F122">
        <v>5</v>
      </c>
      <c r="G122">
        <v>27.58</v>
      </c>
      <c r="H122">
        <v>137.9</v>
      </c>
      <c r="I122" t="s">
        <v>40</v>
      </c>
    </row>
    <row r="123" spans="1:9" x14ac:dyDescent="0.3">
      <c r="A123" s="1">
        <v>45639</v>
      </c>
      <c r="B123" t="s">
        <v>14</v>
      </c>
      <c r="C123" t="s">
        <v>21</v>
      </c>
      <c r="D123" t="s">
        <v>10</v>
      </c>
      <c r="E123" t="s">
        <v>17</v>
      </c>
      <c r="F123">
        <v>1</v>
      </c>
      <c r="G123">
        <v>47.78</v>
      </c>
      <c r="H123">
        <v>47.78</v>
      </c>
      <c r="I123" t="s">
        <v>40</v>
      </c>
    </row>
    <row r="124" spans="1:9" x14ac:dyDescent="0.3">
      <c r="A124" s="1">
        <v>45649</v>
      </c>
      <c r="B124" t="s">
        <v>20</v>
      </c>
      <c r="C124" t="s">
        <v>22</v>
      </c>
      <c r="D124" t="s">
        <v>10</v>
      </c>
      <c r="E124" t="s">
        <v>11</v>
      </c>
      <c r="F124">
        <v>1</v>
      </c>
      <c r="G124">
        <v>63.33</v>
      </c>
      <c r="H124">
        <v>63.33</v>
      </c>
      <c r="I124" t="s">
        <v>40</v>
      </c>
    </row>
    <row r="125" spans="1:9" x14ac:dyDescent="0.3">
      <c r="A125" s="1">
        <v>45643</v>
      </c>
      <c r="B125" t="s">
        <v>20</v>
      </c>
      <c r="C125" t="s">
        <v>9</v>
      </c>
      <c r="D125" t="s">
        <v>10</v>
      </c>
      <c r="E125" t="s">
        <v>11</v>
      </c>
      <c r="F125">
        <v>6</v>
      </c>
      <c r="G125">
        <v>29.34</v>
      </c>
      <c r="H125">
        <v>176.04</v>
      </c>
      <c r="I125" t="s">
        <v>40</v>
      </c>
    </row>
    <row r="126" spans="1:9" x14ac:dyDescent="0.3">
      <c r="A126" s="1">
        <v>45633</v>
      </c>
      <c r="B126" t="s">
        <v>8</v>
      </c>
      <c r="C126" t="s">
        <v>18</v>
      </c>
      <c r="D126" t="s">
        <v>19</v>
      </c>
      <c r="E126" t="s">
        <v>27</v>
      </c>
      <c r="F126">
        <v>1</v>
      </c>
      <c r="G126">
        <v>952.13</v>
      </c>
      <c r="H126">
        <v>952.13</v>
      </c>
      <c r="I126" t="s">
        <v>40</v>
      </c>
    </row>
    <row r="127" spans="1:9" x14ac:dyDescent="0.3">
      <c r="A127" s="1">
        <v>45654</v>
      </c>
      <c r="B127" t="s">
        <v>8</v>
      </c>
      <c r="C127" t="s">
        <v>24</v>
      </c>
      <c r="D127" t="s">
        <v>19</v>
      </c>
      <c r="E127" t="s">
        <v>23</v>
      </c>
      <c r="F127">
        <v>3</v>
      </c>
      <c r="G127">
        <v>230.56</v>
      </c>
      <c r="H127">
        <v>691.68</v>
      </c>
      <c r="I127" t="s">
        <v>40</v>
      </c>
    </row>
    <row r="128" spans="1:9" x14ac:dyDescent="0.3">
      <c r="A128" s="1">
        <v>45632</v>
      </c>
      <c r="B128" t="s">
        <v>8</v>
      </c>
      <c r="C128" t="s">
        <v>21</v>
      </c>
      <c r="D128" t="s">
        <v>10</v>
      </c>
      <c r="E128" t="s">
        <v>31</v>
      </c>
      <c r="F128">
        <v>1</v>
      </c>
      <c r="G128">
        <v>43.87</v>
      </c>
      <c r="H128">
        <v>43.87</v>
      </c>
      <c r="I128" t="s">
        <v>40</v>
      </c>
    </row>
    <row r="129" spans="1:9" x14ac:dyDescent="0.3">
      <c r="A129" s="1">
        <v>45650</v>
      </c>
      <c r="B129" t="s">
        <v>20</v>
      </c>
      <c r="C129" t="s">
        <v>9</v>
      </c>
      <c r="D129" t="s">
        <v>10</v>
      </c>
      <c r="E129" t="s">
        <v>17</v>
      </c>
      <c r="F129">
        <v>8</v>
      </c>
      <c r="G129">
        <v>30.14</v>
      </c>
      <c r="H129">
        <v>241.12</v>
      </c>
      <c r="I129" t="s">
        <v>40</v>
      </c>
    </row>
    <row r="130" spans="1:9" x14ac:dyDescent="0.3">
      <c r="A130" s="1">
        <v>45628</v>
      </c>
      <c r="B130" t="s">
        <v>14</v>
      </c>
      <c r="C130" t="s">
        <v>15</v>
      </c>
      <c r="D130" t="s">
        <v>16</v>
      </c>
      <c r="E130" t="s">
        <v>31</v>
      </c>
      <c r="F130">
        <v>1</v>
      </c>
      <c r="G130">
        <v>382.48</v>
      </c>
      <c r="H130">
        <v>382.48</v>
      </c>
      <c r="I130" t="s">
        <v>40</v>
      </c>
    </row>
    <row r="131" spans="1:9" x14ac:dyDescent="0.3">
      <c r="A131" s="1">
        <v>45651</v>
      </c>
      <c r="B131" t="s">
        <v>12</v>
      </c>
      <c r="C131" t="s">
        <v>15</v>
      </c>
      <c r="D131" t="s">
        <v>16</v>
      </c>
      <c r="E131" t="s">
        <v>28</v>
      </c>
      <c r="F131">
        <v>7</v>
      </c>
      <c r="G131">
        <v>409.61</v>
      </c>
      <c r="H131">
        <v>2867.27</v>
      </c>
      <c r="I131" t="s">
        <v>40</v>
      </c>
    </row>
    <row r="132" spans="1:9" x14ac:dyDescent="0.3">
      <c r="A132" s="1">
        <v>45631</v>
      </c>
      <c r="B132" t="s">
        <v>14</v>
      </c>
      <c r="C132" t="s">
        <v>22</v>
      </c>
      <c r="D132" t="s">
        <v>10</v>
      </c>
      <c r="E132" t="s">
        <v>17</v>
      </c>
      <c r="F132">
        <v>3</v>
      </c>
      <c r="G132">
        <v>64.09</v>
      </c>
      <c r="H132">
        <v>192.27</v>
      </c>
      <c r="I132" t="s">
        <v>40</v>
      </c>
    </row>
    <row r="133" spans="1:9" x14ac:dyDescent="0.3">
      <c r="A133" s="1">
        <v>45645</v>
      </c>
      <c r="B133" t="s">
        <v>8</v>
      </c>
      <c r="C133" t="s">
        <v>29</v>
      </c>
      <c r="D133" t="s">
        <v>30</v>
      </c>
      <c r="E133" t="s">
        <v>23</v>
      </c>
      <c r="F133">
        <v>1</v>
      </c>
      <c r="G133">
        <v>348.79</v>
      </c>
      <c r="H133">
        <v>348.79</v>
      </c>
      <c r="I133" t="s">
        <v>40</v>
      </c>
    </row>
    <row r="134" spans="1:9" x14ac:dyDescent="0.3">
      <c r="A134" s="1">
        <v>45630</v>
      </c>
      <c r="B134" t="s">
        <v>12</v>
      </c>
      <c r="C134" t="s">
        <v>9</v>
      </c>
      <c r="D134" t="s">
        <v>10</v>
      </c>
      <c r="E134" t="s">
        <v>13</v>
      </c>
      <c r="F134">
        <v>7</v>
      </c>
      <c r="G134">
        <v>33</v>
      </c>
      <c r="H134">
        <v>231</v>
      </c>
      <c r="I134" t="s">
        <v>40</v>
      </c>
    </row>
    <row r="135" spans="1:9" x14ac:dyDescent="0.3">
      <c r="A135" s="1">
        <v>45635</v>
      </c>
      <c r="B135" t="s">
        <v>12</v>
      </c>
      <c r="C135" t="s">
        <v>15</v>
      </c>
      <c r="D135" t="s">
        <v>16</v>
      </c>
      <c r="E135" t="s">
        <v>26</v>
      </c>
      <c r="F135">
        <v>8</v>
      </c>
      <c r="G135">
        <v>399.41</v>
      </c>
      <c r="H135">
        <v>3195.28</v>
      </c>
      <c r="I135" t="s">
        <v>40</v>
      </c>
    </row>
    <row r="136" spans="1:9" x14ac:dyDescent="0.3">
      <c r="A136" s="1">
        <v>46010</v>
      </c>
      <c r="B136" t="s">
        <v>12</v>
      </c>
      <c r="C136" t="s">
        <v>24</v>
      </c>
      <c r="D136" t="s">
        <v>19</v>
      </c>
      <c r="E136" t="s">
        <v>27</v>
      </c>
      <c r="F136">
        <v>8</v>
      </c>
      <c r="G136">
        <v>247.8</v>
      </c>
      <c r="H136">
        <v>1982.4</v>
      </c>
      <c r="I136" t="s">
        <v>41</v>
      </c>
    </row>
    <row r="137" spans="1:9" x14ac:dyDescent="0.3">
      <c r="A137" s="1">
        <v>46006</v>
      </c>
      <c r="B137" t="s">
        <v>8</v>
      </c>
      <c r="C137" t="s">
        <v>18</v>
      </c>
      <c r="D137" t="s">
        <v>19</v>
      </c>
      <c r="E137" t="s">
        <v>28</v>
      </c>
      <c r="F137">
        <v>6</v>
      </c>
      <c r="G137">
        <v>980.8</v>
      </c>
      <c r="H137">
        <v>5884.8</v>
      </c>
      <c r="I137" t="s">
        <v>41</v>
      </c>
    </row>
    <row r="138" spans="1:9" x14ac:dyDescent="0.3">
      <c r="A138" s="1">
        <v>46013</v>
      </c>
      <c r="B138" t="s">
        <v>12</v>
      </c>
      <c r="C138" t="s">
        <v>21</v>
      </c>
      <c r="D138" t="s">
        <v>10</v>
      </c>
      <c r="E138" t="s">
        <v>31</v>
      </c>
      <c r="F138">
        <v>5</v>
      </c>
      <c r="G138">
        <v>42.94</v>
      </c>
      <c r="H138">
        <v>214.7</v>
      </c>
      <c r="I138" t="s">
        <v>41</v>
      </c>
    </row>
    <row r="139" spans="1:9" x14ac:dyDescent="0.3">
      <c r="A139" s="1">
        <v>46010</v>
      </c>
      <c r="B139" t="s">
        <v>14</v>
      </c>
      <c r="C139" t="s">
        <v>25</v>
      </c>
      <c r="D139" t="s">
        <v>16</v>
      </c>
      <c r="E139" t="s">
        <v>28</v>
      </c>
      <c r="F139">
        <v>2</v>
      </c>
      <c r="G139">
        <v>184.44</v>
      </c>
      <c r="H139">
        <v>368.88</v>
      </c>
      <c r="I139" t="s">
        <v>41</v>
      </c>
    </row>
    <row r="140" spans="1:9" x14ac:dyDescent="0.3">
      <c r="A140" s="1">
        <v>45996</v>
      </c>
      <c r="B140" t="s">
        <v>8</v>
      </c>
      <c r="C140" t="s">
        <v>24</v>
      </c>
      <c r="D140" t="s">
        <v>19</v>
      </c>
      <c r="E140" t="s">
        <v>28</v>
      </c>
      <c r="F140">
        <v>5</v>
      </c>
      <c r="G140">
        <v>249.69</v>
      </c>
      <c r="H140">
        <v>1248.45</v>
      </c>
      <c r="I140" t="s">
        <v>41</v>
      </c>
    </row>
    <row r="141" spans="1:9" x14ac:dyDescent="0.3">
      <c r="A141" s="1">
        <v>45993</v>
      </c>
      <c r="B141" t="s">
        <v>8</v>
      </c>
      <c r="C141" t="s">
        <v>25</v>
      </c>
      <c r="D141" t="s">
        <v>16</v>
      </c>
      <c r="E141" t="s">
        <v>17</v>
      </c>
      <c r="F141">
        <v>6</v>
      </c>
      <c r="G141">
        <v>162.91999999999999</v>
      </c>
      <c r="H141">
        <v>977.52</v>
      </c>
      <c r="I141" t="s">
        <v>41</v>
      </c>
    </row>
    <row r="142" spans="1:9" x14ac:dyDescent="0.3">
      <c r="A142" s="1">
        <v>45998</v>
      </c>
      <c r="B142" t="s">
        <v>12</v>
      </c>
      <c r="C142" t="s">
        <v>29</v>
      </c>
      <c r="D142" t="s">
        <v>30</v>
      </c>
      <c r="E142" t="s">
        <v>11</v>
      </c>
      <c r="F142">
        <v>2</v>
      </c>
      <c r="G142">
        <v>288.32</v>
      </c>
      <c r="H142">
        <v>576.64</v>
      </c>
      <c r="I142" t="s">
        <v>41</v>
      </c>
    </row>
    <row r="143" spans="1:9" x14ac:dyDescent="0.3">
      <c r="A143" s="1">
        <v>46022</v>
      </c>
      <c r="B143" t="s">
        <v>14</v>
      </c>
      <c r="C143" t="s">
        <v>25</v>
      </c>
      <c r="D143" t="s">
        <v>16</v>
      </c>
      <c r="E143" t="s">
        <v>27</v>
      </c>
      <c r="F143">
        <v>8</v>
      </c>
      <c r="G143">
        <v>181.75</v>
      </c>
      <c r="H143">
        <v>1454</v>
      </c>
      <c r="I143" t="s">
        <v>41</v>
      </c>
    </row>
    <row r="144" spans="1:9" x14ac:dyDescent="0.3">
      <c r="A144" s="1">
        <v>46016</v>
      </c>
      <c r="B144" t="s">
        <v>8</v>
      </c>
      <c r="C144" t="s">
        <v>29</v>
      </c>
      <c r="D144" t="s">
        <v>30</v>
      </c>
      <c r="E144" t="s">
        <v>28</v>
      </c>
      <c r="F144">
        <v>1</v>
      </c>
      <c r="G144">
        <v>324.92</v>
      </c>
      <c r="H144">
        <v>324.92</v>
      </c>
      <c r="I144" t="s">
        <v>41</v>
      </c>
    </row>
    <row r="145" spans="1:9" x14ac:dyDescent="0.3">
      <c r="A145" s="1">
        <v>46005</v>
      </c>
      <c r="B145" t="s">
        <v>8</v>
      </c>
      <c r="C145" t="s">
        <v>9</v>
      </c>
      <c r="D145" t="s">
        <v>10</v>
      </c>
      <c r="E145" t="s">
        <v>17</v>
      </c>
      <c r="F145">
        <v>3</v>
      </c>
      <c r="G145">
        <v>31.77</v>
      </c>
      <c r="H145">
        <v>95.31</v>
      </c>
      <c r="I145" t="s">
        <v>41</v>
      </c>
    </row>
    <row r="146" spans="1:9" x14ac:dyDescent="0.3">
      <c r="A146" s="1">
        <v>46012</v>
      </c>
      <c r="B146" t="s">
        <v>12</v>
      </c>
      <c r="C146" t="s">
        <v>9</v>
      </c>
      <c r="D146" t="s">
        <v>10</v>
      </c>
      <c r="E146" t="s">
        <v>11</v>
      </c>
      <c r="F146">
        <v>2</v>
      </c>
      <c r="G146">
        <v>31.82</v>
      </c>
      <c r="H146">
        <v>63.64</v>
      </c>
      <c r="I146" t="s">
        <v>41</v>
      </c>
    </row>
    <row r="147" spans="1:9" x14ac:dyDescent="0.3">
      <c r="A147" s="1">
        <v>45995</v>
      </c>
      <c r="B147" t="s">
        <v>8</v>
      </c>
      <c r="C147" t="s">
        <v>25</v>
      </c>
      <c r="D147" t="s">
        <v>16</v>
      </c>
      <c r="E147" t="s">
        <v>13</v>
      </c>
      <c r="F147">
        <v>8</v>
      </c>
      <c r="G147">
        <v>194.59</v>
      </c>
      <c r="H147">
        <v>1556.72</v>
      </c>
      <c r="I147" t="s">
        <v>41</v>
      </c>
    </row>
    <row r="148" spans="1:9" x14ac:dyDescent="0.3">
      <c r="A148" s="1">
        <v>46014</v>
      </c>
      <c r="B148" t="s">
        <v>8</v>
      </c>
      <c r="C148" t="s">
        <v>24</v>
      </c>
      <c r="D148" t="s">
        <v>19</v>
      </c>
      <c r="E148" t="s">
        <v>11</v>
      </c>
      <c r="F148">
        <v>7</v>
      </c>
      <c r="G148">
        <v>242.55</v>
      </c>
      <c r="H148">
        <v>1697.85</v>
      </c>
      <c r="I148" t="s">
        <v>41</v>
      </c>
    </row>
    <row r="149" spans="1:9" x14ac:dyDescent="0.3">
      <c r="A149" s="1">
        <v>45999</v>
      </c>
      <c r="B149" t="s">
        <v>14</v>
      </c>
      <c r="C149" t="s">
        <v>18</v>
      </c>
      <c r="D149" t="s">
        <v>19</v>
      </c>
      <c r="E149" t="s">
        <v>11</v>
      </c>
      <c r="F149">
        <v>4</v>
      </c>
      <c r="G149">
        <v>825.14</v>
      </c>
      <c r="H149">
        <v>3300.56</v>
      </c>
      <c r="I149" t="s">
        <v>41</v>
      </c>
    </row>
    <row r="150" spans="1:9" x14ac:dyDescent="0.3">
      <c r="A150" s="1">
        <v>46010</v>
      </c>
      <c r="B150" t="s">
        <v>20</v>
      </c>
      <c r="C150" t="s">
        <v>24</v>
      </c>
      <c r="D150" t="s">
        <v>19</v>
      </c>
      <c r="E150" t="s">
        <v>26</v>
      </c>
      <c r="F150">
        <v>4</v>
      </c>
      <c r="G150">
        <v>273.49</v>
      </c>
      <c r="H150">
        <v>1093.96</v>
      </c>
      <c r="I150" t="s">
        <v>41</v>
      </c>
    </row>
    <row r="151" spans="1:9" x14ac:dyDescent="0.3">
      <c r="A151" s="1">
        <v>46017</v>
      </c>
      <c r="B151" t="s">
        <v>20</v>
      </c>
      <c r="C151" t="s">
        <v>15</v>
      </c>
      <c r="D151" t="s">
        <v>16</v>
      </c>
      <c r="E151" t="s">
        <v>17</v>
      </c>
      <c r="F151">
        <v>5</v>
      </c>
      <c r="G151">
        <v>372.03</v>
      </c>
      <c r="H151">
        <v>1860.15</v>
      </c>
      <c r="I151" t="s">
        <v>41</v>
      </c>
    </row>
    <row r="152" spans="1:9" x14ac:dyDescent="0.3">
      <c r="A152" s="1">
        <v>45995</v>
      </c>
      <c r="B152" t="s">
        <v>20</v>
      </c>
      <c r="C152" t="s">
        <v>21</v>
      </c>
      <c r="D152" t="s">
        <v>10</v>
      </c>
      <c r="E152" t="s">
        <v>27</v>
      </c>
      <c r="F152">
        <v>8</v>
      </c>
      <c r="G152">
        <v>48.04</v>
      </c>
      <c r="H152">
        <v>384.32</v>
      </c>
      <c r="I152" t="s">
        <v>41</v>
      </c>
    </row>
    <row r="153" spans="1:9" x14ac:dyDescent="0.3">
      <c r="A153" s="1">
        <v>46005</v>
      </c>
      <c r="B153" t="s">
        <v>14</v>
      </c>
      <c r="C153" t="s">
        <v>25</v>
      </c>
      <c r="D153" t="s">
        <v>16</v>
      </c>
      <c r="E153" t="s">
        <v>23</v>
      </c>
      <c r="F153">
        <v>3</v>
      </c>
      <c r="G153">
        <v>186.18</v>
      </c>
      <c r="H153">
        <v>558.54</v>
      </c>
      <c r="I153" t="s">
        <v>41</v>
      </c>
    </row>
    <row r="154" spans="1:9" x14ac:dyDescent="0.3">
      <c r="A154" s="1">
        <v>45324</v>
      </c>
      <c r="B154" t="s">
        <v>8</v>
      </c>
      <c r="C154" t="s">
        <v>9</v>
      </c>
      <c r="D154" t="s">
        <v>10</v>
      </c>
      <c r="E154" t="s">
        <v>27</v>
      </c>
      <c r="F154">
        <v>7</v>
      </c>
      <c r="G154">
        <v>28.27</v>
      </c>
      <c r="H154">
        <v>197.89</v>
      </c>
      <c r="I154" t="s">
        <v>42</v>
      </c>
    </row>
    <row r="155" spans="1:9" x14ac:dyDescent="0.3">
      <c r="A155" s="1">
        <v>45336</v>
      </c>
      <c r="B155" t="s">
        <v>20</v>
      </c>
      <c r="C155" t="s">
        <v>25</v>
      </c>
      <c r="D155" t="s">
        <v>16</v>
      </c>
      <c r="E155" t="s">
        <v>28</v>
      </c>
      <c r="F155">
        <v>7</v>
      </c>
      <c r="G155">
        <v>181.68</v>
      </c>
      <c r="H155">
        <v>1271.76</v>
      </c>
      <c r="I155" t="s">
        <v>42</v>
      </c>
    </row>
    <row r="156" spans="1:9" x14ac:dyDescent="0.3">
      <c r="A156" s="1">
        <v>45338</v>
      </c>
      <c r="B156" t="s">
        <v>20</v>
      </c>
      <c r="C156" t="s">
        <v>22</v>
      </c>
      <c r="D156" t="s">
        <v>10</v>
      </c>
      <c r="E156" t="s">
        <v>11</v>
      </c>
      <c r="F156">
        <v>8</v>
      </c>
      <c r="G156">
        <v>67.989999999999995</v>
      </c>
      <c r="H156">
        <v>543.91999999999996</v>
      </c>
      <c r="I156" t="s">
        <v>42</v>
      </c>
    </row>
    <row r="157" spans="1:9" x14ac:dyDescent="0.3">
      <c r="A157" s="1">
        <v>45349</v>
      </c>
      <c r="B157" t="s">
        <v>12</v>
      </c>
      <c r="C157" t="s">
        <v>9</v>
      </c>
      <c r="D157" t="s">
        <v>10</v>
      </c>
      <c r="E157" t="s">
        <v>28</v>
      </c>
      <c r="F157">
        <v>7</v>
      </c>
      <c r="G157">
        <v>27.19</v>
      </c>
      <c r="H157">
        <v>190.33</v>
      </c>
      <c r="I157" t="s">
        <v>42</v>
      </c>
    </row>
    <row r="158" spans="1:9" x14ac:dyDescent="0.3">
      <c r="A158" s="1">
        <v>45324</v>
      </c>
      <c r="B158" t="s">
        <v>14</v>
      </c>
      <c r="C158" t="s">
        <v>22</v>
      </c>
      <c r="D158" t="s">
        <v>10</v>
      </c>
      <c r="E158" t="s">
        <v>28</v>
      </c>
      <c r="F158">
        <v>1</v>
      </c>
      <c r="G158">
        <v>67.400000000000006</v>
      </c>
      <c r="H158">
        <v>67.400000000000006</v>
      </c>
      <c r="I158" t="s">
        <v>42</v>
      </c>
    </row>
    <row r="159" spans="1:9" x14ac:dyDescent="0.3">
      <c r="A159" s="1">
        <v>45340</v>
      </c>
      <c r="B159" t="s">
        <v>20</v>
      </c>
      <c r="C159" t="s">
        <v>24</v>
      </c>
      <c r="D159" t="s">
        <v>19</v>
      </c>
      <c r="E159" t="s">
        <v>23</v>
      </c>
      <c r="F159">
        <v>8</v>
      </c>
      <c r="G159">
        <v>241.88</v>
      </c>
      <c r="H159">
        <v>1935.04</v>
      </c>
      <c r="I159" t="s">
        <v>42</v>
      </c>
    </row>
    <row r="160" spans="1:9" x14ac:dyDescent="0.3">
      <c r="A160" s="1">
        <v>45351</v>
      </c>
      <c r="B160" t="s">
        <v>20</v>
      </c>
      <c r="C160" t="s">
        <v>29</v>
      </c>
      <c r="D160" t="s">
        <v>30</v>
      </c>
      <c r="E160" t="s">
        <v>13</v>
      </c>
      <c r="F160">
        <v>5</v>
      </c>
      <c r="G160">
        <v>321.89999999999998</v>
      </c>
      <c r="H160">
        <v>1609.5</v>
      </c>
      <c r="I160" t="s">
        <v>42</v>
      </c>
    </row>
    <row r="161" spans="1:9" x14ac:dyDescent="0.3">
      <c r="A161" s="1">
        <v>45324</v>
      </c>
      <c r="B161" t="s">
        <v>14</v>
      </c>
      <c r="C161" t="s">
        <v>15</v>
      </c>
      <c r="D161" t="s">
        <v>16</v>
      </c>
      <c r="E161" t="s">
        <v>11</v>
      </c>
      <c r="F161">
        <v>6</v>
      </c>
      <c r="G161">
        <v>361.95</v>
      </c>
      <c r="H161">
        <v>2171.6999999999998</v>
      </c>
      <c r="I161" t="s">
        <v>42</v>
      </c>
    </row>
    <row r="162" spans="1:9" x14ac:dyDescent="0.3">
      <c r="A162" s="1">
        <v>45347</v>
      </c>
      <c r="B162" t="s">
        <v>12</v>
      </c>
      <c r="C162" t="s">
        <v>25</v>
      </c>
      <c r="D162" t="s">
        <v>16</v>
      </c>
      <c r="E162" t="s">
        <v>11</v>
      </c>
      <c r="F162">
        <v>5</v>
      </c>
      <c r="G162">
        <v>180.66</v>
      </c>
      <c r="H162">
        <v>903.3</v>
      </c>
      <c r="I162" t="s">
        <v>42</v>
      </c>
    </row>
    <row r="163" spans="1:9" x14ac:dyDescent="0.3">
      <c r="A163" s="1">
        <v>45343</v>
      </c>
      <c r="B163" t="s">
        <v>12</v>
      </c>
      <c r="C163" t="s">
        <v>15</v>
      </c>
      <c r="D163" t="s">
        <v>16</v>
      </c>
      <c r="E163" t="s">
        <v>26</v>
      </c>
      <c r="F163">
        <v>7</v>
      </c>
      <c r="G163">
        <v>403.41</v>
      </c>
      <c r="H163">
        <v>2823.87</v>
      </c>
      <c r="I163" t="s">
        <v>42</v>
      </c>
    </row>
    <row r="164" spans="1:9" x14ac:dyDescent="0.3">
      <c r="A164" s="1">
        <v>45351</v>
      </c>
      <c r="B164" t="s">
        <v>12</v>
      </c>
      <c r="C164" t="s">
        <v>25</v>
      </c>
      <c r="D164" t="s">
        <v>16</v>
      </c>
      <c r="E164" t="s">
        <v>11</v>
      </c>
      <c r="F164">
        <v>5</v>
      </c>
      <c r="G164">
        <v>176.72</v>
      </c>
      <c r="H164">
        <v>883.6</v>
      </c>
      <c r="I164" t="s">
        <v>42</v>
      </c>
    </row>
    <row r="165" spans="1:9" x14ac:dyDescent="0.3">
      <c r="A165" s="1">
        <v>45350</v>
      </c>
      <c r="B165" t="s">
        <v>8</v>
      </c>
      <c r="C165" t="s">
        <v>25</v>
      </c>
      <c r="D165" t="s">
        <v>16</v>
      </c>
      <c r="E165" t="s">
        <v>26</v>
      </c>
      <c r="F165">
        <v>8</v>
      </c>
      <c r="G165">
        <v>187.73</v>
      </c>
      <c r="H165">
        <v>1501.84</v>
      </c>
      <c r="I165" t="s">
        <v>42</v>
      </c>
    </row>
    <row r="166" spans="1:9" x14ac:dyDescent="0.3">
      <c r="A166" s="1">
        <v>45343</v>
      </c>
      <c r="B166" t="s">
        <v>20</v>
      </c>
      <c r="C166" t="s">
        <v>21</v>
      </c>
      <c r="D166" t="s">
        <v>10</v>
      </c>
      <c r="E166" t="s">
        <v>26</v>
      </c>
      <c r="F166">
        <v>6</v>
      </c>
      <c r="G166">
        <v>46.44</v>
      </c>
      <c r="H166">
        <v>278.64</v>
      </c>
      <c r="I166" t="s">
        <v>42</v>
      </c>
    </row>
    <row r="167" spans="1:9" x14ac:dyDescent="0.3">
      <c r="A167" s="1">
        <v>45350</v>
      </c>
      <c r="B167" t="s">
        <v>12</v>
      </c>
      <c r="C167" t="s">
        <v>21</v>
      </c>
      <c r="D167" t="s">
        <v>10</v>
      </c>
      <c r="E167" t="s">
        <v>13</v>
      </c>
      <c r="F167">
        <v>4</v>
      </c>
      <c r="G167">
        <v>44.28</v>
      </c>
      <c r="H167">
        <v>177.12</v>
      </c>
      <c r="I167" t="s">
        <v>42</v>
      </c>
    </row>
    <row r="168" spans="1:9" x14ac:dyDescent="0.3">
      <c r="A168" s="1">
        <v>45332</v>
      </c>
      <c r="B168" t="s">
        <v>12</v>
      </c>
      <c r="C168" t="s">
        <v>9</v>
      </c>
      <c r="D168" t="s">
        <v>10</v>
      </c>
      <c r="E168" t="s">
        <v>31</v>
      </c>
      <c r="F168">
        <v>4</v>
      </c>
      <c r="G168">
        <v>29.6</v>
      </c>
      <c r="H168">
        <v>118.4</v>
      </c>
      <c r="I168" t="s">
        <v>42</v>
      </c>
    </row>
    <row r="169" spans="1:9" x14ac:dyDescent="0.3">
      <c r="A169" s="1">
        <v>45344</v>
      </c>
      <c r="B169" t="s">
        <v>8</v>
      </c>
      <c r="C169" t="s">
        <v>25</v>
      </c>
      <c r="D169" t="s">
        <v>16</v>
      </c>
      <c r="E169" t="s">
        <v>17</v>
      </c>
      <c r="F169">
        <v>5</v>
      </c>
      <c r="G169">
        <v>184.75</v>
      </c>
      <c r="H169">
        <v>923.75</v>
      </c>
      <c r="I169" t="s">
        <v>42</v>
      </c>
    </row>
    <row r="170" spans="1:9" x14ac:dyDescent="0.3">
      <c r="A170" s="1">
        <v>45337</v>
      </c>
      <c r="B170" t="s">
        <v>14</v>
      </c>
      <c r="C170" t="s">
        <v>21</v>
      </c>
      <c r="D170" t="s">
        <v>10</v>
      </c>
      <c r="E170" t="s">
        <v>17</v>
      </c>
      <c r="F170">
        <v>1</v>
      </c>
      <c r="G170">
        <v>47.27</v>
      </c>
      <c r="H170">
        <v>47.27</v>
      </c>
      <c r="I170" t="s">
        <v>42</v>
      </c>
    </row>
    <row r="171" spans="1:9" x14ac:dyDescent="0.3">
      <c r="A171" s="1">
        <v>45328</v>
      </c>
      <c r="B171" t="s">
        <v>12</v>
      </c>
      <c r="C171" t="s">
        <v>24</v>
      </c>
      <c r="D171" t="s">
        <v>19</v>
      </c>
      <c r="E171" t="s">
        <v>13</v>
      </c>
      <c r="F171">
        <v>6</v>
      </c>
      <c r="G171">
        <v>266.08999999999997</v>
      </c>
      <c r="H171">
        <v>1596.54</v>
      </c>
      <c r="I171" t="s">
        <v>42</v>
      </c>
    </row>
    <row r="172" spans="1:9" x14ac:dyDescent="0.3">
      <c r="A172" s="1">
        <v>45334</v>
      </c>
      <c r="B172" t="s">
        <v>20</v>
      </c>
      <c r="C172" t="s">
        <v>21</v>
      </c>
      <c r="D172" t="s">
        <v>10</v>
      </c>
      <c r="E172" t="s">
        <v>28</v>
      </c>
      <c r="F172">
        <v>7</v>
      </c>
      <c r="G172">
        <v>47.82</v>
      </c>
      <c r="H172">
        <v>334.74</v>
      </c>
      <c r="I172" t="s">
        <v>42</v>
      </c>
    </row>
    <row r="173" spans="1:9" x14ac:dyDescent="0.3">
      <c r="A173" s="1">
        <v>45332</v>
      </c>
      <c r="B173" t="s">
        <v>14</v>
      </c>
      <c r="C173" t="s">
        <v>21</v>
      </c>
      <c r="D173" t="s">
        <v>10</v>
      </c>
      <c r="E173" t="s">
        <v>11</v>
      </c>
      <c r="F173">
        <v>2</v>
      </c>
      <c r="G173">
        <v>47.28</v>
      </c>
      <c r="H173">
        <v>94.56</v>
      </c>
      <c r="I173" t="s">
        <v>42</v>
      </c>
    </row>
    <row r="174" spans="1:9" x14ac:dyDescent="0.3">
      <c r="A174" s="1">
        <v>45331</v>
      </c>
      <c r="B174" t="s">
        <v>8</v>
      </c>
      <c r="C174" t="s">
        <v>9</v>
      </c>
      <c r="D174" t="s">
        <v>10</v>
      </c>
      <c r="E174" t="s">
        <v>28</v>
      </c>
      <c r="F174">
        <v>4</v>
      </c>
      <c r="G174">
        <v>30.17</v>
      </c>
      <c r="H174">
        <v>120.68</v>
      </c>
      <c r="I174" t="s">
        <v>42</v>
      </c>
    </row>
    <row r="175" spans="1:9" x14ac:dyDescent="0.3">
      <c r="A175" s="1">
        <v>45331</v>
      </c>
      <c r="B175" t="s">
        <v>20</v>
      </c>
      <c r="C175" t="s">
        <v>29</v>
      </c>
      <c r="D175" t="s">
        <v>30</v>
      </c>
      <c r="E175" t="s">
        <v>26</v>
      </c>
      <c r="F175">
        <v>4</v>
      </c>
      <c r="G175">
        <v>331.82</v>
      </c>
      <c r="H175">
        <v>1327.28</v>
      </c>
      <c r="I175" t="s">
        <v>42</v>
      </c>
    </row>
    <row r="176" spans="1:9" x14ac:dyDescent="0.3">
      <c r="A176" s="1">
        <v>45337</v>
      </c>
      <c r="B176" t="s">
        <v>12</v>
      </c>
      <c r="C176" t="s">
        <v>15</v>
      </c>
      <c r="D176" t="s">
        <v>16</v>
      </c>
      <c r="E176" t="s">
        <v>13</v>
      </c>
      <c r="F176">
        <v>8</v>
      </c>
      <c r="G176">
        <v>438.98</v>
      </c>
      <c r="H176">
        <v>3511.84</v>
      </c>
      <c r="I176" t="s">
        <v>42</v>
      </c>
    </row>
    <row r="177" spans="1:9" x14ac:dyDescent="0.3">
      <c r="A177" s="1">
        <v>45339</v>
      </c>
      <c r="B177" t="s">
        <v>20</v>
      </c>
      <c r="C177" t="s">
        <v>22</v>
      </c>
      <c r="D177" t="s">
        <v>10</v>
      </c>
      <c r="E177" t="s">
        <v>11</v>
      </c>
      <c r="F177">
        <v>8</v>
      </c>
      <c r="G177">
        <v>71.97</v>
      </c>
      <c r="H177">
        <v>575.76</v>
      </c>
      <c r="I177" t="s">
        <v>42</v>
      </c>
    </row>
    <row r="178" spans="1:9" x14ac:dyDescent="0.3">
      <c r="A178" s="1">
        <v>45702</v>
      </c>
      <c r="B178" t="s">
        <v>8</v>
      </c>
      <c r="C178" t="s">
        <v>18</v>
      </c>
      <c r="D178" t="s">
        <v>19</v>
      </c>
      <c r="E178" t="s">
        <v>26</v>
      </c>
      <c r="F178">
        <v>3</v>
      </c>
      <c r="G178">
        <v>973.36</v>
      </c>
      <c r="H178">
        <v>2920.08</v>
      </c>
      <c r="I178" t="s">
        <v>43</v>
      </c>
    </row>
    <row r="179" spans="1:9" x14ac:dyDescent="0.3">
      <c r="A179" s="1">
        <v>45697</v>
      </c>
      <c r="B179" t="s">
        <v>14</v>
      </c>
      <c r="C179" t="s">
        <v>15</v>
      </c>
      <c r="D179" t="s">
        <v>16</v>
      </c>
      <c r="E179" t="s">
        <v>26</v>
      </c>
      <c r="F179">
        <v>3</v>
      </c>
      <c r="G179">
        <v>424.65</v>
      </c>
      <c r="H179">
        <v>1273.95</v>
      </c>
      <c r="I179" t="s">
        <v>43</v>
      </c>
    </row>
    <row r="180" spans="1:9" x14ac:dyDescent="0.3">
      <c r="A180" s="1">
        <v>45700</v>
      </c>
      <c r="B180" t="s">
        <v>14</v>
      </c>
      <c r="C180" t="s">
        <v>18</v>
      </c>
      <c r="D180" t="s">
        <v>19</v>
      </c>
      <c r="E180" t="s">
        <v>13</v>
      </c>
      <c r="F180">
        <v>6</v>
      </c>
      <c r="G180">
        <v>957.24</v>
      </c>
      <c r="H180">
        <v>5743.44</v>
      </c>
      <c r="I180" t="s">
        <v>43</v>
      </c>
    </row>
    <row r="181" spans="1:9" x14ac:dyDescent="0.3">
      <c r="A181" s="1">
        <v>45700</v>
      </c>
      <c r="B181" t="s">
        <v>14</v>
      </c>
      <c r="C181" t="s">
        <v>21</v>
      </c>
      <c r="D181" t="s">
        <v>10</v>
      </c>
      <c r="E181" t="s">
        <v>17</v>
      </c>
      <c r="F181">
        <v>1</v>
      </c>
      <c r="G181">
        <v>46.37</v>
      </c>
      <c r="H181">
        <v>46.37</v>
      </c>
      <c r="I181" t="s">
        <v>43</v>
      </c>
    </row>
    <row r="182" spans="1:9" x14ac:dyDescent="0.3">
      <c r="A182" s="1">
        <v>45708</v>
      </c>
      <c r="B182" t="s">
        <v>12</v>
      </c>
      <c r="C182" t="s">
        <v>25</v>
      </c>
      <c r="D182" t="s">
        <v>16</v>
      </c>
      <c r="E182" t="s">
        <v>28</v>
      </c>
      <c r="F182">
        <v>3</v>
      </c>
      <c r="G182">
        <v>173.41</v>
      </c>
      <c r="H182">
        <v>520.23</v>
      </c>
      <c r="I182" t="s">
        <v>43</v>
      </c>
    </row>
    <row r="183" spans="1:9" x14ac:dyDescent="0.3">
      <c r="A183" s="1">
        <v>45712</v>
      </c>
      <c r="B183" t="s">
        <v>8</v>
      </c>
      <c r="C183" t="s">
        <v>15</v>
      </c>
      <c r="D183" t="s">
        <v>16</v>
      </c>
      <c r="E183" t="s">
        <v>11</v>
      </c>
      <c r="F183">
        <v>7</v>
      </c>
      <c r="G183">
        <v>439.2</v>
      </c>
      <c r="H183">
        <v>3074.4</v>
      </c>
      <c r="I183" t="s">
        <v>43</v>
      </c>
    </row>
    <row r="184" spans="1:9" x14ac:dyDescent="0.3">
      <c r="A184" s="1">
        <v>45704</v>
      </c>
      <c r="B184" t="s">
        <v>8</v>
      </c>
      <c r="C184" t="s">
        <v>18</v>
      </c>
      <c r="D184" t="s">
        <v>19</v>
      </c>
      <c r="E184" t="s">
        <v>28</v>
      </c>
      <c r="F184">
        <v>2</v>
      </c>
      <c r="G184">
        <v>862.85</v>
      </c>
      <c r="H184">
        <v>1725.7</v>
      </c>
      <c r="I184" t="s">
        <v>43</v>
      </c>
    </row>
    <row r="185" spans="1:9" x14ac:dyDescent="0.3">
      <c r="A185" s="1">
        <v>45708</v>
      </c>
      <c r="B185" t="s">
        <v>14</v>
      </c>
      <c r="C185" t="s">
        <v>29</v>
      </c>
      <c r="D185" t="s">
        <v>30</v>
      </c>
      <c r="E185" t="s">
        <v>26</v>
      </c>
      <c r="F185">
        <v>2</v>
      </c>
      <c r="G185">
        <v>296.13</v>
      </c>
      <c r="H185">
        <v>592.26</v>
      </c>
      <c r="I185" t="s">
        <v>43</v>
      </c>
    </row>
    <row r="186" spans="1:9" x14ac:dyDescent="0.3">
      <c r="A186" s="1">
        <v>45702</v>
      </c>
      <c r="B186" t="s">
        <v>14</v>
      </c>
      <c r="C186" t="s">
        <v>29</v>
      </c>
      <c r="D186" t="s">
        <v>30</v>
      </c>
      <c r="E186" t="s">
        <v>11</v>
      </c>
      <c r="F186">
        <v>8</v>
      </c>
      <c r="G186">
        <v>327.86</v>
      </c>
      <c r="H186">
        <v>2622.88</v>
      </c>
      <c r="I186" t="s">
        <v>43</v>
      </c>
    </row>
    <row r="187" spans="1:9" x14ac:dyDescent="0.3">
      <c r="A187" s="1">
        <v>45691</v>
      </c>
      <c r="B187" t="s">
        <v>12</v>
      </c>
      <c r="C187" t="s">
        <v>21</v>
      </c>
      <c r="D187" t="s">
        <v>10</v>
      </c>
      <c r="E187" t="s">
        <v>28</v>
      </c>
      <c r="F187">
        <v>6</v>
      </c>
      <c r="G187">
        <v>46.24</v>
      </c>
      <c r="H187">
        <v>277.44</v>
      </c>
      <c r="I187" t="s">
        <v>43</v>
      </c>
    </row>
    <row r="188" spans="1:9" x14ac:dyDescent="0.3">
      <c r="A188" s="1">
        <v>45705</v>
      </c>
      <c r="B188" t="s">
        <v>20</v>
      </c>
      <c r="C188" t="s">
        <v>25</v>
      </c>
      <c r="D188" t="s">
        <v>16</v>
      </c>
      <c r="E188" t="s">
        <v>23</v>
      </c>
      <c r="F188">
        <v>8</v>
      </c>
      <c r="G188">
        <v>187.33</v>
      </c>
      <c r="H188">
        <v>1498.64</v>
      </c>
      <c r="I188" t="s">
        <v>43</v>
      </c>
    </row>
    <row r="189" spans="1:9" x14ac:dyDescent="0.3">
      <c r="A189" s="1">
        <v>45697</v>
      </c>
      <c r="B189" t="s">
        <v>14</v>
      </c>
      <c r="C189" t="s">
        <v>15</v>
      </c>
      <c r="D189" t="s">
        <v>16</v>
      </c>
      <c r="E189" t="s">
        <v>26</v>
      </c>
      <c r="F189">
        <v>2</v>
      </c>
      <c r="G189">
        <v>435.22</v>
      </c>
      <c r="H189">
        <v>870.44</v>
      </c>
      <c r="I189" t="s">
        <v>43</v>
      </c>
    </row>
    <row r="190" spans="1:9" x14ac:dyDescent="0.3">
      <c r="A190" s="1">
        <v>45708</v>
      </c>
      <c r="B190" t="s">
        <v>14</v>
      </c>
      <c r="C190" t="s">
        <v>25</v>
      </c>
      <c r="D190" t="s">
        <v>16</v>
      </c>
      <c r="E190" t="s">
        <v>17</v>
      </c>
      <c r="F190">
        <v>5</v>
      </c>
      <c r="G190">
        <v>162.41</v>
      </c>
      <c r="H190">
        <v>812.05</v>
      </c>
      <c r="I190" t="s">
        <v>43</v>
      </c>
    </row>
    <row r="191" spans="1:9" x14ac:dyDescent="0.3">
      <c r="A191" s="1">
        <v>45714</v>
      </c>
      <c r="B191" t="s">
        <v>20</v>
      </c>
      <c r="C191" t="s">
        <v>15</v>
      </c>
      <c r="D191" t="s">
        <v>16</v>
      </c>
      <c r="E191" t="s">
        <v>17</v>
      </c>
      <c r="F191">
        <v>6</v>
      </c>
      <c r="G191">
        <v>419.68</v>
      </c>
      <c r="H191">
        <v>2518.08</v>
      </c>
      <c r="I191" t="s">
        <v>43</v>
      </c>
    </row>
    <row r="192" spans="1:9" x14ac:dyDescent="0.3">
      <c r="A192" s="1">
        <v>45713</v>
      </c>
      <c r="B192" t="s">
        <v>12</v>
      </c>
      <c r="C192" t="s">
        <v>22</v>
      </c>
      <c r="D192" t="s">
        <v>10</v>
      </c>
      <c r="E192" t="s">
        <v>11</v>
      </c>
      <c r="F192">
        <v>5</v>
      </c>
      <c r="G192">
        <v>67</v>
      </c>
      <c r="H192">
        <v>335</v>
      </c>
      <c r="I192" t="s">
        <v>43</v>
      </c>
    </row>
    <row r="193" spans="1:9" x14ac:dyDescent="0.3">
      <c r="A193" s="1">
        <v>45700</v>
      </c>
      <c r="B193" t="s">
        <v>8</v>
      </c>
      <c r="C193" t="s">
        <v>18</v>
      </c>
      <c r="D193" t="s">
        <v>19</v>
      </c>
      <c r="E193" t="s">
        <v>11</v>
      </c>
      <c r="F193">
        <v>4</v>
      </c>
      <c r="G193">
        <v>818.18</v>
      </c>
      <c r="H193">
        <v>3272.72</v>
      </c>
      <c r="I193" t="s">
        <v>43</v>
      </c>
    </row>
    <row r="194" spans="1:9" x14ac:dyDescent="0.3">
      <c r="A194" s="1">
        <v>45701</v>
      </c>
      <c r="B194" t="s">
        <v>12</v>
      </c>
      <c r="C194" t="s">
        <v>9</v>
      </c>
      <c r="D194" t="s">
        <v>10</v>
      </c>
      <c r="E194" t="s">
        <v>26</v>
      </c>
      <c r="F194">
        <v>5</v>
      </c>
      <c r="G194">
        <v>29.78</v>
      </c>
      <c r="H194">
        <v>148.9</v>
      </c>
      <c r="I194" t="s">
        <v>43</v>
      </c>
    </row>
    <row r="195" spans="1:9" x14ac:dyDescent="0.3">
      <c r="A195" s="1">
        <v>45710</v>
      </c>
      <c r="B195" t="s">
        <v>8</v>
      </c>
      <c r="C195" t="s">
        <v>9</v>
      </c>
      <c r="D195" t="s">
        <v>10</v>
      </c>
      <c r="E195" t="s">
        <v>17</v>
      </c>
      <c r="F195">
        <v>3</v>
      </c>
      <c r="G195">
        <v>32.72</v>
      </c>
      <c r="H195">
        <v>98.16</v>
      </c>
      <c r="I195" t="s">
        <v>43</v>
      </c>
    </row>
    <row r="196" spans="1:9" x14ac:dyDescent="0.3">
      <c r="A196" s="1">
        <v>45704</v>
      </c>
      <c r="B196" t="s">
        <v>20</v>
      </c>
      <c r="C196" t="s">
        <v>24</v>
      </c>
      <c r="D196" t="s">
        <v>19</v>
      </c>
      <c r="E196" t="s">
        <v>11</v>
      </c>
      <c r="F196">
        <v>7</v>
      </c>
      <c r="G196">
        <v>236.43</v>
      </c>
      <c r="H196">
        <v>1655.01</v>
      </c>
      <c r="I196" t="s">
        <v>43</v>
      </c>
    </row>
    <row r="197" spans="1:9" x14ac:dyDescent="0.3">
      <c r="A197" s="1">
        <v>45707</v>
      </c>
      <c r="B197" t="s">
        <v>20</v>
      </c>
      <c r="C197" t="s">
        <v>15</v>
      </c>
      <c r="D197" t="s">
        <v>16</v>
      </c>
      <c r="E197" t="s">
        <v>11</v>
      </c>
      <c r="F197">
        <v>2</v>
      </c>
      <c r="G197">
        <v>370.72</v>
      </c>
      <c r="H197">
        <v>741.44</v>
      </c>
      <c r="I197" t="s">
        <v>43</v>
      </c>
    </row>
    <row r="198" spans="1:9" x14ac:dyDescent="0.3">
      <c r="A198" s="1">
        <v>45716</v>
      </c>
      <c r="B198" t="s">
        <v>14</v>
      </c>
      <c r="C198" t="s">
        <v>29</v>
      </c>
      <c r="D198" t="s">
        <v>30</v>
      </c>
      <c r="E198" t="s">
        <v>27</v>
      </c>
      <c r="F198">
        <v>5</v>
      </c>
      <c r="G198">
        <v>299.02999999999997</v>
      </c>
      <c r="H198">
        <v>1495.15</v>
      </c>
      <c r="I198" t="s">
        <v>43</v>
      </c>
    </row>
    <row r="199" spans="1:9" x14ac:dyDescent="0.3">
      <c r="A199" s="1">
        <v>45317</v>
      </c>
      <c r="B199" t="s">
        <v>14</v>
      </c>
      <c r="C199" t="s">
        <v>15</v>
      </c>
      <c r="D199" t="s">
        <v>16</v>
      </c>
      <c r="E199" t="s">
        <v>17</v>
      </c>
      <c r="F199">
        <v>4</v>
      </c>
      <c r="G199">
        <v>418.56</v>
      </c>
      <c r="H199">
        <v>1674.24</v>
      </c>
      <c r="I199" t="s">
        <v>44</v>
      </c>
    </row>
    <row r="200" spans="1:9" x14ac:dyDescent="0.3">
      <c r="A200" s="1">
        <v>45322</v>
      </c>
      <c r="B200" t="s">
        <v>12</v>
      </c>
      <c r="C200" t="s">
        <v>15</v>
      </c>
      <c r="D200" t="s">
        <v>16</v>
      </c>
      <c r="E200" t="s">
        <v>28</v>
      </c>
      <c r="F200">
        <v>8</v>
      </c>
      <c r="G200">
        <v>374.55</v>
      </c>
      <c r="H200">
        <v>2996.4</v>
      </c>
      <c r="I200" t="s">
        <v>44</v>
      </c>
    </row>
    <row r="201" spans="1:9" x14ac:dyDescent="0.3">
      <c r="A201" s="1">
        <v>45319</v>
      </c>
      <c r="B201" t="s">
        <v>8</v>
      </c>
      <c r="C201" t="s">
        <v>15</v>
      </c>
      <c r="D201" t="s">
        <v>16</v>
      </c>
      <c r="E201" t="s">
        <v>26</v>
      </c>
      <c r="F201">
        <v>3</v>
      </c>
      <c r="G201">
        <v>408.95</v>
      </c>
      <c r="H201">
        <v>1226.8499999999999</v>
      </c>
      <c r="I201" t="s">
        <v>44</v>
      </c>
    </row>
    <row r="202" spans="1:9" x14ac:dyDescent="0.3">
      <c r="A202" s="1">
        <v>45298</v>
      </c>
      <c r="B202" t="s">
        <v>14</v>
      </c>
      <c r="C202" t="s">
        <v>15</v>
      </c>
      <c r="D202" t="s">
        <v>16</v>
      </c>
      <c r="E202" t="s">
        <v>13</v>
      </c>
      <c r="F202">
        <v>7</v>
      </c>
      <c r="G202">
        <v>373.64</v>
      </c>
      <c r="H202">
        <v>2615.48</v>
      </c>
      <c r="I202" t="s">
        <v>44</v>
      </c>
    </row>
    <row r="203" spans="1:9" x14ac:dyDescent="0.3">
      <c r="A203" s="1">
        <v>45303</v>
      </c>
      <c r="B203" t="s">
        <v>12</v>
      </c>
      <c r="C203" t="s">
        <v>25</v>
      </c>
      <c r="D203" t="s">
        <v>16</v>
      </c>
      <c r="E203" t="s">
        <v>23</v>
      </c>
      <c r="F203">
        <v>3</v>
      </c>
      <c r="G203">
        <v>172.03</v>
      </c>
      <c r="H203">
        <v>516.09</v>
      </c>
      <c r="I203" t="s">
        <v>44</v>
      </c>
    </row>
    <row r="204" spans="1:9" x14ac:dyDescent="0.3">
      <c r="A204" s="1">
        <v>45295</v>
      </c>
      <c r="B204" t="s">
        <v>14</v>
      </c>
      <c r="C204" t="s">
        <v>24</v>
      </c>
      <c r="D204" t="s">
        <v>19</v>
      </c>
      <c r="E204" t="s">
        <v>11</v>
      </c>
      <c r="F204">
        <v>2</v>
      </c>
      <c r="G204">
        <v>256.68</v>
      </c>
      <c r="H204">
        <v>513.36</v>
      </c>
      <c r="I204" t="s">
        <v>44</v>
      </c>
    </row>
    <row r="205" spans="1:9" x14ac:dyDescent="0.3">
      <c r="A205" s="1">
        <v>45292</v>
      </c>
      <c r="B205" t="s">
        <v>14</v>
      </c>
      <c r="C205" t="s">
        <v>22</v>
      </c>
      <c r="D205" t="s">
        <v>10</v>
      </c>
      <c r="E205" t="s">
        <v>28</v>
      </c>
      <c r="F205">
        <v>6</v>
      </c>
      <c r="G205">
        <v>64.930000000000007</v>
      </c>
      <c r="H205">
        <v>389.58</v>
      </c>
      <c r="I205" t="s">
        <v>44</v>
      </c>
    </row>
    <row r="206" spans="1:9" x14ac:dyDescent="0.3">
      <c r="A206" s="1">
        <v>45311</v>
      </c>
      <c r="B206" t="s">
        <v>20</v>
      </c>
      <c r="C206" t="s">
        <v>22</v>
      </c>
      <c r="D206" t="s">
        <v>10</v>
      </c>
      <c r="E206" t="s">
        <v>31</v>
      </c>
      <c r="F206">
        <v>7</v>
      </c>
      <c r="G206">
        <v>75.28</v>
      </c>
      <c r="H206">
        <v>526.96</v>
      </c>
      <c r="I206" t="s">
        <v>44</v>
      </c>
    </row>
    <row r="207" spans="1:9" x14ac:dyDescent="0.3">
      <c r="A207" s="1">
        <v>45313</v>
      </c>
      <c r="B207" t="s">
        <v>12</v>
      </c>
      <c r="C207" t="s">
        <v>29</v>
      </c>
      <c r="D207" t="s">
        <v>30</v>
      </c>
      <c r="E207" t="s">
        <v>28</v>
      </c>
      <c r="F207">
        <v>2</v>
      </c>
      <c r="G207">
        <v>304.97000000000003</v>
      </c>
      <c r="H207">
        <v>609.94000000000005</v>
      </c>
      <c r="I207" t="s">
        <v>44</v>
      </c>
    </row>
    <row r="208" spans="1:9" x14ac:dyDescent="0.3">
      <c r="A208" s="1">
        <v>45299</v>
      </c>
      <c r="B208" t="s">
        <v>20</v>
      </c>
      <c r="C208" t="s">
        <v>22</v>
      </c>
      <c r="D208" t="s">
        <v>10</v>
      </c>
      <c r="E208" t="s">
        <v>11</v>
      </c>
      <c r="F208">
        <v>8</v>
      </c>
      <c r="G208">
        <v>74.13</v>
      </c>
      <c r="H208">
        <v>593.04</v>
      </c>
      <c r="I208" t="s">
        <v>44</v>
      </c>
    </row>
    <row r="209" spans="1:9" x14ac:dyDescent="0.3">
      <c r="A209" s="1">
        <v>45307</v>
      </c>
      <c r="B209" t="s">
        <v>12</v>
      </c>
      <c r="C209" t="s">
        <v>15</v>
      </c>
      <c r="D209" t="s">
        <v>16</v>
      </c>
      <c r="E209" t="s">
        <v>26</v>
      </c>
      <c r="F209">
        <v>1</v>
      </c>
      <c r="G209">
        <v>362.44</v>
      </c>
      <c r="H209">
        <v>362.44</v>
      </c>
      <c r="I209" t="s">
        <v>44</v>
      </c>
    </row>
    <row r="210" spans="1:9" x14ac:dyDescent="0.3">
      <c r="A210" s="1">
        <v>45294</v>
      </c>
      <c r="B210" t="s">
        <v>20</v>
      </c>
      <c r="C210" t="s">
        <v>25</v>
      </c>
      <c r="D210" t="s">
        <v>16</v>
      </c>
      <c r="E210" t="s">
        <v>11</v>
      </c>
      <c r="F210">
        <v>6</v>
      </c>
      <c r="G210">
        <v>181.46</v>
      </c>
      <c r="H210">
        <v>1088.76</v>
      </c>
      <c r="I210" t="s">
        <v>44</v>
      </c>
    </row>
    <row r="211" spans="1:9" x14ac:dyDescent="0.3">
      <c r="A211" s="1">
        <v>45301</v>
      </c>
      <c r="B211" t="s">
        <v>8</v>
      </c>
      <c r="C211" t="s">
        <v>22</v>
      </c>
      <c r="D211" t="s">
        <v>10</v>
      </c>
      <c r="E211" t="s">
        <v>28</v>
      </c>
      <c r="F211">
        <v>3</v>
      </c>
      <c r="G211">
        <v>76.459999999999994</v>
      </c>
      <c r="H211">
        <v>229.38</v>
      </c>
      <c r="I211" t="s">
        <v>44</v>
      </c>
    </row>
    <row r="212" spans="1:9" x14ac:dyDescent="0.3">
      <c r="A212" s="1">
        <v>45300</v>
      </c>
      <c r="B212" t="s">
        <v>20</v>
      </c>
      <c r="C212" t="s">
        <v>29</v>
      </c>
      <c r="D212" t="s">
        <v>30</v>
      </c>
      <c r="E212" t="s">
        <v>28</v>
      </c>
      <c r="F212">
        <v>4</v>
      </c>
      <c r="G212">
        <v>351.39</v>
      </c>
      <c r="H212">
        <v>1405.56</v>
      </c>
      <c r="I212" t="s">
        <v>44</v>
      </c>
    </row>
    <row r="213" spans="1:9" x14ac:dyDescent="0.3">
      <c r="A213" s="1">
        <v>45295</v>
      </c>
      <c r="B213" t="s">
        <v>8</v>
      </c>
      <c r="C213" t="s">
        <v>25</v>
      </c>
      <c r="D213" t="s">
        <v>16</v>
      </c>
      <c r="E213" t="s">
        <v>17</v>
      </c>
      <c r="F213">
        <v>1</v>
      </c>
      <c r="G213">
        <v>190.5</v>
      </c>
      <c r="H213">
        <v>190.5</v>
      </c>
      <c r="I213" t="s">
        <v>44</v>
      </c>
    </row>
    <row r="214" spans="1:9" x14ac:dyDescent="0.3">
      <c r="A214" s="1">
        <v>45301</v>
      </c>
      <c r="B214" t="s">
        <v>14</v>
      </c>
      <c r="C214" t="s">
        <v>24</v>
      </c>
      <c r="D214" t="s">
        <v>19</v>
      </c>
      <c r="E214" t="s">
        <v>31</v>
      </c>
      <c r="F214">
        <v>1</v>
      </c>
      <c r="G214">
        <v>263.08</v>
      </c>
      <c r="H214">
        <v>263.08</v>
      </c>
      <c r="I214" t="s">
        <v>44</v>
      </c>
    </row>
    <row r="215" spans="1:9" x14ac:dyDescent="0.3">
      <c r="A215" s="1">
        <v>45317</v>
      </c>
      <c r="B215" t="s">
        <v>8</v>
      </c>
      <c r="C215" t="s">
        <v>9</v>
      </c>
      <c r="D215" t="s">
        <v>10</v>
      </c>
      <c r="E215" t="s">
        <v>23</v>
      </c>
      <c r="F215">
        <v>6</v>
      </c>
      <c r="G215">
        <v>30.5</v>
      </c>
      <c r="H215">
        <v>183</v>
      </c>
      <c r="I215" t="s">
        <v>44</v>
      </c>
    </row>
    <row r="216" spans="1:9" x14ac:dyDescent="0.3">
      <c r="A216" s="1">
        <v>45316</v>
      </c>
      <c r="B216" t="s">
        <v>14</v>
      </c>
      <c r="C216" t="s">
        <v>9</v>
      </c>
      <c r="D216" t="s">
        <v>10</v>
      </c>
      <c r="E216" t="s">
        <v>28</v>
      </c>
      <c r="F216">
        <v>3</v>
      </c>
      <c r="G216">
        <v>30.77</v>
      </c>
      <c r="H216">
        <v>92.31</v>
      </c>
      <c r="I216" t="s">
        <v>44</v>
      </c>
    </row>
    <row r="217" spans="1:9" x14ac:dyDescent="0.3">
      <c r="A217" s="1">
        <v>45320</v>
      </c>
      <c r="B217" t="s">
        <v>14</v>
      </c>
      <c r="C217" t="s">
        <v>29</v>
      </c>
      <c r="D217" t="s">
        <v>30</v>
      </c>
      <c r="E217" t="s">
        <v>28</v>
      </c>
      <c r="F217">
        <v>3</v>
      </c>
      <c r="G217">
        <v>350.36</v>
      </c>
      <c r="H217">
        <v>1051.08</v>
      </c>
      <c r="I217" t="s">
        <v>44</v>
      </c>
    </row>
    <row r="218" spans="1:9" x14ac:dyDescent="0.3">
      <c r="A218" s="1">
        <v>45293</v>
      </c>
      <c r="B218" t="s">
        <v>12</v>
      </c>
      <c r="C218" t="s">
        <v>22</v>
      </c>
      <c r="D218" t="s">
        <v>10</v>
      </c>
      <c r="E218" t="s">
        <v>11</v>
      </c>
      <c r="F218">
        <v>6</v>
      </c>
      <c r="G218">
        <v>68.33</v>
      </c>
      <c r="H218">
        <v>409.98</v>
      </c>
      <c r="I218" t="s">
        <v>44</v>
      </c>
    </row>
    <row r="219" spans="1:9" x14ac:dyDescent="0.3">
      <c r="A219" s="1">
        <v>45292</v>
      </c>
      <c r="B219" t="s">
        <v>8</v>
      </c>
      <c r="C219" t="s">
        <v>15</v>
      </c>
      <c r="D219" t="s">
        <v>16</v>
      </c>
      <c r="E219" t="s">
        <v>27</v>
      </c>
      <c r="F219">
        <v>2</v>
      </c>
      <c r="G219">
        <v>420.41</v>
      </c>
      <c r="H219">
        <v>840.82</v>
      </c>
      <c r="I219" t="s">
        <v>44</v>
      </c>
    </row>
    <row r="220" spans="1:9" x14ac:dyDescent="0.3">
      <c r="A220" s="1">
        <v>45317</v>
      </c>
      <c r="B220" t="s">
        <v>12</v>
      </c>
      <c r="C220" t="s">
        <v>24</v>
      </c>
      <c r="D220" t="s">
        <v>19</v>
      </c>
      <c r="E220" t="s">
        <v>26</v>
      </c>
      <c r="F220">
        <v>3</v>
      </c>
      <c r="G220">
        <v>231.94</v>
      </c>
      <c r="H220">
        <v>695.82</v>
      </c>
      <c r="I220" t="s">
        <v>44</v>
      </c>
    </row>
    <row r="221" spans="1:9" x14ac:dyDescent="0.3">
      <c r="A221" s="1">
        <v>45681</v>
      </c>
      <c r="B221" t="s">
        <v>20</v>
      </c>
      <c r="C221" t="s">
        <v>25</v>
      </c>
      <c r="D221" t="s">
        <v>16</v>
      </c>
      <c r="E221" t="s">
        <v>23</v>
      </c>
      <c r="F221">
        <v>5</v>
      </c>
      <c r="G221">
        <v>163.24</v>
      </c>
      <c r="H221">
        <v>816.2</v>
      </c>
      <c r="I221" t="s">
        <v>45</v>
      </c>
    </row>
    <row r="222" spans="1:9" x14ac:dyDescent="0.3">
      <c r="A222" s="1">
        <v>45659</v>
      </c>
      <c r="B222" t="s">
        <v>8</v>
      </c>
      <c r="C222" t="s">
        <v>9</v>
      </c>
      <c r="D222" t="s">
        <v>10</v>
      </c>
      <c r="E222" t="s">
        <v>31</v>
      </c>
      <c r="F222">
        <v>7</v>
      </c>
      <c r="G222">
        <v>28.55</v>
      </c>
      <c r="H222">
        <v>199.85</v>
      </c>
      <c r="I222" t="s">
        <v>45</v>
      </c>
    </row>
    <row r="223" spans="1:9" x14ac:dyDescent="0.3">
      <c r="A223" s="1">
        <v>45679</v>
      </c>
      <c r="B223" t="s">
        <v>20</v>
      </c>
      <c r="C223" t="s">
        <v>22</v>
      </c>
      <c r="D223" t="s">
        <v>10</v>
      </c>
      <c r="E223" t="s">
        <v>13</v>
      </c>
      <c r="F223">
        <v>5</v>
      </c>
      <c r="G223">
        <v>76.150000000000006</v>
      </c>
      <c r="H223">
        <v>380.75</v>
      </c>
      <c r="I223" t="s">
        <v>45</v>
      </c>
    </row>
    <row r="224" spans="1:9" x14ac:dyDescent="0.3">
      <c r="A224" s="1">
        <v>45662</v>
      </c>
      <c r="B224" t="s">
        <v>12</v>
      </c>
      <c r="C224" t="s">
        <v>25</v>
      </c>
      <c r="D224" t="s">
        <v>16</v>
      </c>
      <c r="E224" t="s">
        <v>23</v>
      </c>
      <c r="F224">
        <v>3</v>
      </c>
      <c r="G224">
        <v>163.63</v>
      </c>
      <c r="H224">
        <v>490.89</v>
      </c>
      <c r="I224" t="s">
        <v>45</v>
      </c>
    </row>
    <row r="225" spans="1:9" x14ac:dyDescent="0.3">
      <c r="A225" s="1">
        <v>45681</v>
      </c>
      <c r="B225" t="s">
        <v>8</v>
      </c>
      <c r="C225" t="s">
        <v>29</v>
      </c>
      <c r="D225" t="s">
        <v>30</v>
      </c>
      <c r="E225" t="s">
        <v>13</v>
      </c>
      <c r="F225">
        <v>4</v>
      </c>
      <c r="G225">
        <v>337.42</v>
      </c>
      <c r="H225">
        <v>1349.68</v>
      </c>
      <c r="I225" t="s">
        <v>45</v>
      </c>
    </row>
    <row r="226" spans="1:9" x14ac:dyDescent="0.3">
      <c r="A226" s="1">
        <v>45665</v>
      </c>
      <c r="B226" t="s">
        <v>20</v>
      </c>
      <c r="C226" t="s">
        <v>29</v>
      </c>
      <c r="D226" t="s">
        <v>30</v>
      </c>
      <c r="E226" t="s">
        <v>17</v>
      </c>
      <c r="F226">
        <v>7</v>
      </c>
      <c r="G226">
        <v>333.24</v>
      </c>
      <c r="H226">
        <v>2332.6799999999998</v>
      </c>
      <c r="I226" t="s">
        <v>45</v>
      </c>
    </row>
    <row r="227" spans="1:9" x14ac:dyDescent="0.3">
      <c r="A227" s="1">
        <v>45671</v>
      </c>
      <c r="B227" t="s">
        <v>12</v>
      </c>
      <c r="C227" t="s">
        <v>25</v>
      </c>
      <c r="D227" t="s">
        <v>16</v>
      </c>
      <c r="E227" t="s">
        <v>13</v>
      </c>
      <c r="F227">
        <v>5</v>
      </c>
      <c r="G227">
        <v>189.77</v>
      </c>
      <c r="H227">
        <v>948.85</v>
      </c>
      <c r="I227" t="s">
        <v>45</v>
      </c>
    </row>
    <row r="228" spans="1:9" x14ac:dyDescent="0.3">
      <c r="A228" s="1">
        <v>45680</v>
      </c>
      <c r="B228" t="s">
        <v>20</v>
      </c>
      <c r="C228" t="s">
        <v>22</v>
      </c>
      <c r="D228" t="s">
        <v>10</v>
      </c>
      <c r="E228" t="s">
        <v>11</v>
      </c>
      <c r="F228">
        <v>5</v>
      </c>
      <c r="G228">
        <v>73.650000000000006</v>
      </c>
      <c r="H228">
        <v>368.25</v>
      </c>
      <c r="I228" t="s">
        <v>45</v>
      </c>
    </row>
    <row r="229" spans="1:9" x14ac:dyDescent="0.3">
      <c r="A229" s="1">
        <v>45662</v>
      </c>
      <c r="B229" t="s">
        <v>8</v>
      </c>
      <c r="C229" t="s">
        <v>29</v>
      </c>
      <c r="D229" t="s">
        <v>30</v>
      </c>
      <c r="E229" t="s">
        <v>26</v>
      </c>
      <c r="F229">
        <v>6</v>
      </c>
      <c r="G229">
        <v>343.09</v>
      </c>
      <c r="H229">
        <v>2058.54</v>
      </c>
      <c r="I229" t="s">
        <v>45</v>
      </c>
    </row>
    <row r="230" spans="1:9" x14ac:dyDescent="0.3">
      <c r="A230" s="1">
        <v>45686</v>
      </c>
      <c r="B230" t="s">
        <v>14</v>
      </c>
      <c r="C230" t="s">
        <v>18</v>
      </c>
      <c r="D230" t="s">
        <v>19</v>
      </c>
      <c r="E230" t="s">
        <v>17</v>
      </c>
      <c r="F230">
        <v>6</v>
      </c>
      <c r="G230">
        <v>899.5</v>
      </c>
      <c r="H230">
        <v>5397</v>
      </c>
      <c r="I230" t="s">
        <v>45</v>
      </c>
    </row>
    <row r="231" spans="1:9" x14ac:dyDescent="0.3">
      <c r="A231" s="1">
        <v>45682</v>
      </c>
      <c r="B231" t="s">
        <v>20</v>
      </c>
      <c r="C231" t="s">
        <v>22</v>
      </c>
      <c r="D231" t="s">
        <v>10</v>
      </c>
      <c r="E231" t="s">
        <v>13</v>
      </c>
      <c r="F231">
        <v>4</v>
      </c>
      <c r="G231">
        <v>67.209999999999994</v>
      </c>
      <c r="H231">
        <v>268.83999999999997</v>
      </c>
      <c r="I231" t="s">
        <v>45</v>
      </c>
    </row>
    <row r="232" spans="1:9" x14ac:dyDescent="0.3">
      <c r="A232" s="1">
        <v>45674</v>
      </c>
      <c r="B232" t="s">
        <v>20</v>
      </c>
      <c r="C232" t="s">
        <v>21</v>
      </c>
      <c r="D232" t="s">
        <v>10</v>
      </c>
      <c r="E232" t="s">
        <v>28</v>
      </c>
      <c r="F232">
        <v>5</v>
      </c>
      <c r="G232">
        <v>42.07</v>
      </c>
      <c r="H232">
        <v>210.35</v>
      </c>
      <c r="I232" t="s">
        <v>45</v>
      </c>
    </row>
    <row r="233" spans="1:9" x14ac:dyDescent="0.3">
      <c r="A233" s="1">
        <v>45663</v>
      </c>
      <c r="B233" t="s">
        <v>20</v>
      </c>
      <c r="C233" t="s">
        <v>29</v>
      </c>
      <c r="D233" t="s">
        <v>30</v>
      </c>
      <c r="E233" t="s">
        <v>27</v>
      </c>
      <c r="F233">
        <v>8</v>
      </c>
      <c r="G233">
        <v>330.24</v>
      </c>
      <c r="H233">
        <v>2641.92</v>
      </c>
      <c r="I233" t="s">
        <v>45</v>
      </c>
    </row>
    <row r="234" spans="1:9" x14ac:dyDescent="0.3">
      <c r="A234" s="1">
        <v>45674</v>
      </c>
      <c r="B234" t="s">
        <v>12</v>
      </c>
      <c r="C234" t="s">
        <v>18</v>
      </c>
      <c r="D234" t="s">
        <v>19</v>
      </c>
      <c r="E234" t="s">
        <v>28</v>
      </c>
      <c r="F234">
        <v>6</v>
      </c>
      <c r="G234">
        <v>852.7</v>
      </c>
      <c r="H234">
        <v>5116.2</v>
      </c>
      <c r="I234" t="s">
        <v>45</v>
      </c>
    </row>
    <row r="235" spans="1:9" x14ac:dyDescent="0.3">
      <c r="A235" s="1">
        <v>45680</v>
      </c>
      <c r="B235" t="s">
        <v>20</v>
      </c>
      <c r="C235" t="s">
        <v>22</v>
      </c>
      <c r="D235" t="s">
        <v>10</v>
      </c>
      <c r="E235" t="s">
        <v>26</v>
      </c>
      <c r="F235">
        <v>4</v>
      </c>
      <c r="G235">
        <v>70.44</v>
      </c>
      <c r="H235">
        <v>281.76</v>
      </c>
      <c r="I235" t="s">
        <v>45</v>
      </c>
    </row>
    <row r="236" spans="1:9" x14ac:dyDescent="0.3">
      <c r="A236" s="1">
        <v>45670</v>
      </c>
      <c r="B236" t="s">
        <v>20</v>
      </c>
      <c r="C236" t="s">
        <v>24</v>
      </c>
      <c r="D236" t="s">
        <v>19</v>
      </c>
      <c r="E236" t="s">
        <v>13</v>
      </c>
      <c r="F236">
        <v>3</v>
      </c>
      <c r="G236">
        <v>230.91</v>
      </c>
      <c r="H236">
        <v>692.73</v>
      </c>
      <c r="I236" t="s">
        <v>45</v>
      </c>
    </row>
    <row r="237" spans="1:9" x14ac:dyDescent="0.3">
      <c r="A237" s="1">
        <v>45670</v>
      </c>
      <c r="B237" t="s">
        <v>12</v>
      </c>
      <c r="C237" t="s">
        <v>15</v>
      </c>
      <c r="D237" t="s">
        <v>16</v>
      </c>
      <c r="E237" t="s">
        <v>28</v>
      </c>
      <c r="F237">
        <v>4</v>
      </c>
      <c r="G237">
        <v>416.5</v>
      </c>
      <c r="H237">
        <v>1666</v>
      </c>
      <c r="I237" t="s">
        <v>45</v>
      </c>
    </row>
    <row r="238" spans="1:9" x14ac:dyDescent="0.3">
      <c r="A238" s="1">
        <v>45665</v>
      </c>
      <c r="B238" t="s">
        <v>20</v>
      </c>
      <c r="C238" t="s">
        <v>22</v>
      </c>
      <c r="D238" t="s">
        <v>10</v>
      </c>
      <c r="E238" t="s">
        <v>13</v>
      </c>
      <c r="F238">
        <v>6</v>
      </c>
      <c r="G238">
        <v>76.8</v>
      </c>
      <c r="H238">
        <v>460.8</v>
      </c>
      <c r="I238" t="s">
        <v>45</v>
      </c>
    </row>
    <row r="239" spans="1:9" x14ac:dyDescent="0.3">
      <c r="A239" s="1">
        <v>45658</v>
      </c>
      <c r="B239" t="s">
        <v>12</v>
      </c>
      <c r="C239" t="s">
        <v>22</v>
      </c>
      <c r="D239" t="s">
        <v>10</v>
      </c>
      <c r="E239" t="s">
        <v>27</v>
      </c>
      <c r="F239">
        <v>7</v>
      </c>
      <c r="G239">
        <v>68.27</v>
      </c>
      <c r="H239">
        <v>477.89</v>
      </c>
      <c r="I239" t="s">
        <v>45</v>
      </c>
    </row>
    <row r="240" spans="1:9" x14ac:dyDescent="0.3">
      <c r="A240" s="1">
        <v>45683</v>
      </c>
      <c r="B240" t="s">
        <v>12</v>
      </c>
      <c r="C240" t="s">
        <v>24</v>
      </c>
      <c r="D240" t="s">
        <v>19</v>
      </c>
      <c r="E240" t="s">
        <v>23</v>
      </c>
      <c r="F240">
        <v>1</v>
      </c>
      <c r="G240">
        <v>269.56</v>
      </c>
      <c r="H240">
        <v>269.56</v>
      </c>
      <c r="I240" t="s">
        <v>45</v>
      </c>
    </row>
    <row r="241" spans="1:9" x14ac:dyDescent="0.3">
      <c r="A241" s="1">
        <v>45686</v>
      </c>
      <c r="B241" t="s">
        <v>8</v>
      </c>
      <c r="C241" t="s">
        <v>24</v>
      </c>
      <c r="D241" t="s">
        <v>19</v>
      </c>
      <c r="E241" t="s">
        <v>27</v>
      </c>
      <c r="F241">
        <v>3</v>
      </c>
      <c r="G241">
        <v>227.26</v>
      </c>
      <c r="H241">
        <v>681.78</v>
      </c>
      <c r="I241" t="s">
        <v>45</v>
      </c>
    </row>
    <row r="242" spans="1:9" x14ac:dyDescent="0.3">
      <c r="A242" s="1">
        <v>45664</v>
      </c>
      <c r="B242" t="s">
        <v>14</v>
      </c>
      <c r="C242" t="s">
        <v>18</v>
      </c>
      <c r="D242" t="s">
        <v>19</v>
      </c>
      <c r="E242" t="s">
        <v>26</v>
      </c>
      <c r="F242">
        <v>7</v>
      </c>
      <c r="G242">
        <v>859.21</v>
      </c>
      <c r="H242">
        <v>6014.47</v>
      </c>
      <c r="I242" t="s">
        <v>45</v>
      </c>
    </row>
    <row r="243" spans="1:9" x14ac:dyDescent="0.3">
      <c r="A243" s="1">
        <v>45680</v>
      </c>
      <c r="B243" t="s">
        <v>12</v>
      </c>
      <c r="C243" t="s">
        <v>21</v>
      </c>
      <c r="D243" t="s">
        <v>10</v>
      </c>
      <c r="E243" t="s">
        <v>27</v>
      </c>
      <c r="F243">
        <v>8</v>
      </c>
      <c r="G243">
        <v>45.18</v>
      </c>
      <c r="H243">
        <v>361.44</v>
      </c>
      <c r="I243" t="s">
        <v>45</v>
      </c>
    </row>
    <row r="244" spans="1:9" x14ac:dyDescent="0.3">
      <c r="A244" s="1">
        <v>45495</v>
      </c>
      <c r="B244" t="s">
        <v>20</v>
      </c>
      <c r="C244" t="s">
        <v>9</v>
      </c>
      <c r="D244" t="s">
        <v>10</v>
      </c>
      <c r="E244" t="s">
        <v>28</v>
      </c>
      <c r="F244">
        <v>8</v>
      </c>
      <c r="G244">
        <v>28.75</v>
      </c>
      <c r="H244">
        <v>230</v>
      </c>
      <c r="I244" t="s">
        <v>46</v>
      </c>
    </row>
    <row r="245" spans="1:9" x14ac:dyDescent="0.3">
      <c r="A245" s="1">
        <v>45488</v>
      </c>
      <c r="B245" t="s">
        <v>12</v>
      </c>
      <c r="C245" t="s">
        <v>22</v>
      </c>
      <c r="D245" t="s">
        <v>10</v>
      </c>
      <c r="E245" t="s">
        <v>26</v>
      </c>
      <c r="F245">
        <v>2</v>
      </c>
      <c r="G245">
        <v>68.44</v>
      </c>
      <c r="H245">
        <v>136.88</v>
      </c>
      <c r="I245" t="s">
        <v>46</v>
      </c>
    </row>
    <row r="246" spans="1:9" x14ac:dyDescent="0.3">
      <c r="A246" s="1">
        <v>45474</v>
      </c>
      <c r="B246" t="s">
        <v>20</v>
      </c>
      <c r="C246" t="s">
        <v>25</v>
      </c>
      <c r="D246" t="s">
        <v>16</v>
      </c>
      <c r="E246" t="s">
        <v>23</v>
      </c>
      <c r="F246">
        <v>7</v>
      </c>
      <c r="G246">
        <v>192.07</v>
      </c>
      <c r="H246">
        <v>1344.49</v>
      </c>
      <c r="I246" t="s">
        <v>46</v>
      </c>
    </row>
    <row r="247" spans="1:9" x14ac:dyDescent="0.3">
      <c r="A247" s="1">
        <v>45495</v>
      </c>
      <c r="B247" t="s">
        <v>20</v>
      </c>
      <c r="C247" t="s">
        <v>25</v>
      </c>
      <c r="D247" t="s">
        <v>16</v>
      </c>
      <c r="E247" t="s">
        <v>31</v>
      </c>
      <c r="F247">
        <v>2</v>
      </c>
      <c r="G247">
        <v>170.15</v>
      </c>
      <c r="H247">
        <v>340.3</v>
      </c>
      <c r="I247" t="s">
        <v>46</v>
      </c>
    </row>
    <row r="248" spans="1:9" x14ac:dyDescent="0.3">
      <c r="A248" s="1">
        <v>45497</v>
      </c>
      <c r="B248" t="s">
        <v>8</v>
      </c>
      <c r="C248" t="s">
        <v>22</v>
      </c>
      <c r="D248" t="s">
        <v>10</v>
      </c>
      <c r="E248" t="s">
        <v>31</v>
      </c>
      <c r="F248">
        <v>1</v>
      </c>
      <c r="G248">
        <v>65.25</v>
      </c>
      <c r="H248">
        <v>65.25</v>
      </c>
      <c r="I248" t="s">
        <v>46</v>
      </c>
    </row>
    <row r="249" spans="1:9" x14ac:dyDescent="0.3">
      <c r="A249" s="1">
        <v>45486</v>
      </c>
      <c r="B249" t="s">
        <v>8</v>
      </c>
      <c r="C249" t="s">
        <v>25</v>
      </c>
      <c r="D249" t="s">
        <v>16</v>
      </c>
      <c r="E249" t="s">
        <v>17</v>
      </c>
      <c r="F249">
        <v>3</v>
      </c>
      <c r="G249">
        <v>168.1</v>
      </c>
      <c r="H249">
        <v>504.3</v>
      </c>
      <c r="I249" t="s">
        <v>46</v>
      </c>
    </row>
    <row r="250" spans="1:9" x14ac:dyDescent="0.3">
      <c r="A250" s="1">
        <v>45488</v>
      </c>
      <c r="B250" t="s">
        <v>20</v>
      </c>
      <c r="C250" t="s">
        <v>21</v>
      </c>
      <c r="D250" t="s">
        <v>10</v>
      </c>
      <c r="E250" t="s">
        <v>28</v>
      </c>
      <c r="F250">
        <v>8</v>
      </c>
      <c r="G250">
        <v>48.72</v>
      </c>
      <c r="H250">
        <v>389.76</v>
      </c>
      <c r="I250" t="s">
        <v>46</v>
      </c>
    </row>
    <row r="251" spans="1:9" x14ac:dyDescent="0.3">
      <c r="A251" s="1">
        <v>45486</v>
      </c>
      <c r="B251" t="s">
        <v>14</v>
      </c>
      <c r="C251" t="s">
        <v>22</v>
      </c>
      <c r="D251" t="s">
        <v>10</v>
      </c>
      <c r="E251" t="s">
        <v>28</v>
      </c>
      <c r="F251">
        <v>2</v>
      </c>
      <c r="G251">
        <v>70.16</v>
      </c>
      <c r="H251">
        <v>140.32</v>
      </c>
      <c r="I251" t="s">
        <v>46</v>
      </c>
    </row>
    <row r="252" spans="1:9" x14ac:dyDescent="0.3">
      <c r="A252" s="1">
        <v>45479</v>
      </c>
      <c r="B252" t="s">
        <v>14</v>
      </c>
      <c r="C252" t="s">
        <v>9</v>
      </c>
      <c r="D252" t="s">
        <v>10</v>
      </c>
      <c r="E252" t="s">
        <v>13</v>
      </c>
      <c r="F252">
        <v>2</v>
      </c>
      <c r="G252">
        <v>31.77</v>
      </c>
      <c r="H252">
        <v>63.54</v>
      </c>
      <c r="I252" t="s">
        <v>46</v>
      </c>
    </row>
    <row r="253" spans="1:9" x14ac:dyDescent="0.3">
      <c r="A253" s="1">
        <v>45486</v>
      </c>
      <c r="B253" t="s">
        <v>8</v>
      </c>
      <c r="C253" t="s">
        <v>18</v>
      </c>
      <c r="D253" t="s">
        <v>19</v>
      </c>
      <c r="E253" t="s">
        <v>26</v>
      </c>
      <c r="F253">
        <v>2</v>
      </c>
      <c r="G253">
        <v>983.28</v>
      </c>
      <c r="H253">
        <v>1966.56</v>
      </c>
      <c r="I253" t="s">
        <v>46</v>
      </c>
    </row>
    <row r="254" spans="1:9" x14ac:dyDescent="0.3">
      <c r="A254" s="1">
        <v>45482</v>
      </c>
      <c r="B254" t="s">
        <v>12</v>
      </c>
      <c r="C254" t="s">
        <v>15</v>
      </c>
      <c r="D254" t="s">
        <v>16</v>
      </c>
      <c r="E254" t="s">
        <v>26</v>
      </c>
      <c r="F254">
        <v>8</v>
      </c>
      <c r="G254">
        <v>420.63</v>
      </c>
      <c r="H254">
        <v>3365.04</v>
      </c>
      <c r="I254" t="s">
        <v>46</v>
      </c>
    </row>
    <row r="255" spans="1:9" x14ac:dyDescent="0.3">
      <c r="A255" s="1">
        <v>45501</v>
      </c>
      <c r="B255" t="s">
        <v>8</v>
      </c>
      <c r="C255" t="s">
        <v>22</v>
      </c>
      <c r="D255" t="s">
        <v>10</v>
      </c>
      <c r="E255" t="s">
        <v>23</v>
      </c>
      <c r="F255">
        <v>3</v>
      </c>
      <c r="G255">
        <v>65.28</v>
      </c>
      <c r="H255">
        <v>195.84</v>
      </c>
      <c r="I255" t="s">
        <v>46</v>
      </c>
    </row>
    <row r="256" spans="1:9" x14ac:dyDescent="0.3">
      <c r="A256" s="1">
        <v>45500</v>
      </c>
      <c r="B256" t="s">
        <v>20</v>
      </c>
      <c r="C256" t="s">
        <v>22</v>
      </c>
      <c r="D256" t="s">
        <v>10</v>
      </c>
      <c r="E256" t="s">
        <v>23</v>
      </c>
      <c r="F256">
        <v>6</v>
      </c>
      <c r="G256">
        <v>63.15</v>
      </c>
      <c r="H256">
        <v>378.9</v>
      </c>
      <c r="I256" t="s">
        <v>46</v>
      </c>
    </row>
    <row r="257" spans="1:9" x14ac:dyDescent="0.3">
      <c r="A257" s="1">
        <v>45475</v>
      </c>
      <c r="B257" t="s">
        <v>12</v>
      </c>
      <c r="C257" t="s">
        <v>15</v>
      </c>
      <c r="D257" t="s">
        <v>16</v>
      </c>
      <c r="E257" t="s">
        <v>31</v>
      </c>
      <c r="F257">
        <v>6</v>
      </c>
      <c r="G257">
        <v>436.97</v>
      </c>
      <c r="H257">
        <v>2621.82</v>
      </c>
      <c r="I257" t="s">
        <v>46</v>
      </c>
    </row>
    <row r="258" spans="1:9" x14ac:dyDescent="0.3">
      <c r="A258" s="1">
        <v>45496</v>
      </c>
      <c r="B258" t="s">
        <v>12</v>
      </c>
      <c r="C258" t="s">
        <v>15</v>
      </c>
      <c r="D258" t="s">
        <v>16</v>
      </c>
      <c r="E258" t="s">
        <v>26</v>
      </c>
      <c r="F258">
        <v>2</v>
      </c>
      <c r="G258">
        <v>404.31</v>
      </c>
      <c r="H258">
        <v>808.62</v>
      </c>
      <c r="I258" t="s">
        <v>46</v>
      </c>
    </row>
    <row r="259" spans="1:9" x14ac:dyDescent="0.3">
      <c r="A259" s="1">
        <v>45489</v>
      </c>
      <c r="B259" t="s">
        <v>8</v>
      </c>
      <c r="C259" t="s">
        <v>21</v>
      </c>
      <c r="D259" t="s">
        <v>10</v>
      </c>
      <c r="E259" t="s">
        <v>11</v>
      </c>
      <c r="F259">
        <v>3</v>
      </c>
      <c r="G259">
        <v>48.61</v>
      </c>
      <c r="H259">
        <v>145.83000000000001</v>
      </c>
      <c r="I259" t="s">
        <v>46</v>
      </c>
    </row>
    <row r="260" spans="1:9" x14ac:dyDescent="0.3">
      <c r="A260" s="1">
        <v>45474</v>
      </c>
      <c r="B260" t="s">
        <v>8</v>
      </c>
      <c r="C260" t="s">
        <v>22</v>
      </c>
      <c r="D260" t="s">
        <v>10</v>
      </c>
      <c r="E260" t="s">
        <v>11</v>
      </c>
      <c r="F260">
        <v>7</v>
      </c>
      <c r="G260">
        <v>70.510000000000005</v>
      </c>
      <c r="H260">
        <v>493.57</v>
      </c>
      <c r="I260" t="s">
        <v>46</v>
      </c>
    </row>
    <row r="261" spans="1:9" x14ac:dyDescent="0.3">
      <c r="A261" s="1">
        <v>45486</v>
      </c>
      <c r="B261" t="s">
        <v>14</v>
      </c>
      <c r="C261" t="s">
        <v>21</v>
      </c>
      <c r="D261" t="s">
        <v>10</v>
      </c>
      <c r="E261" t="s">
        <v>11</v>
      </c>
      <c r="F261">
        <v>6</v>
      </c>
      <c r="G261">
        <v>43.89</v>
      </c>
      <c r="H261">
        <v>263.33999999999997</v>
      </c>
      <c r="I261" t="s">
        <v>46</v>
      </c>
    </row>
    <row r="262" spans="1:9" x14ac:dyDescent="0.3">
      <c r="A262" s="1">
        <v>45493</v>
      </c>
      <c r="B262" t="s">
        <v>8</v>
      </c>
      <c r="C262" t="s">
        <v>24</v>
      </c>
      <c r="D262" t="s">
        <v>19</v>
      </c>
      <c r="E262" t="s">
        <v>17</v>
      </c>
      <c r="F262">
        <v>3</v>
      </c>
      <c r="G262">
        <v>245.74</v>
      </c>
      <c r="H262">
        <v>737.22</v>
      </c>
      <c r="I262" t="s">
        <v>46</v>
      </c>
    </row>
    <row r="263" spans="1:9" x14ac:dyDescent="0.3">
      <c r="A263" s="1">
        <v>45488</v>
      </c>
      <c r="B263" t="s">
        <v>14</v>
      </c>
      <c r="C263" t="s">
        <v>15</v>
      </c>
      <c r="D263" t="s">
        <v>16</v>
      </c>
      <c r="E263" t="s">
        <v>17</v>
      </c>
      <c r="F263">
        <v>2</v>
      </c>
      <c r="G263">
        <v>413.73</v>
      </c>
      <c r="H263">
        <v>827.46</v>
      </c>
      <c r="I263" t="s">
        <v>46</v>
      </c>
    </row>
    <row r="264" spans="1:9" x14ac:dyDescent="0.3">
      <c r="A264" s="1">
        <v>45495</v>
      </c>
      <c r="B264" t="s">
        <v>8</v>
      </c>
      <c r="C264" t="s">
        <v>25</v>
      </c>
      <c r="D264" t="s">
        <v>16</v>
      </c>
      <c r="E264" t="s">
        <v>23</v>
      </c>
      <c r="F264">
        <v>6</v>
      </c>
      <c r="G264">
        <v>166.61</v>
      </c>
      <c r="H264">
        <v>999.66</v>
      </c>
      <c r="I264" t="s">
        <v>46</v>
      </c>
    </row>
    <row r="265" spans="1:9" x14ac:dyDescent="0.3">
      <c r="A265" s="1">
        <v>45850</v>
      </c>
      <c r="B265" t="s">
        <v>12</v>
      </c>
      <c r="C265" t="s">
        <v>25</v>
      </c>
      <c r="D265" t="s">
        <v>16</v>
      </c>
      <c r="E265" t="s">
        <v>26</v>
      </c>
      <c r="F265">
        <v>6</v>
      </c>
      <c r="G265">
        <v>187.49</v>
      </c>
      <c r="H265">
        <v>1124.94</v>
      </c>
      <c r="I265" t="s">
        <v>47</v>
      </c>
    </row>
    <row r="266" spans="1:9" x14ac:dyDescent="0.3">
      <c r="A266" s="1">
        <v>45866</v>
      </c>
      <c r="B266" t="s">
        <v>8</v>
      </c>
      <c r="C266" t="s">
        <v>18</v>
      </c>
      <c r="D266" t="s">
        <v>19</v>
      </c>
      <c r="E266" t="s">
        <v>28</v>
      </c>
      <c r="F266">
        <v>5</v>
      </c>
      <c r="G266">
        <v>835.11</v>
      </c>
      <c r="H266">
        <v>4175.55</v>
      </c>
      <c r="I266" t="s">
        <v>47</v>
      </c>
    </row>
    <row r="267" spans="1:9" x14ac:dyDescent="0.3">
      <c r="A267" s="1">
        <v>45850</v>
      </c>
      <c r="B267" t="s">
        <v>12</v>
      </c>
      <c r="C267" t="s">
        <v>25</v>
      </c>
      <c r="D267" t="s">
        <v>16</v>
      </c>
      <c r="E267" t="s">
        <v>27</v>
      </c>
      <c r="F267">
        <v>4</v>
      </c>
      <c r="G267">
        <v>190.27</v>
      </c>
      <c r="H267">
        <v>761.08</v>
      </c>
      <c r="I267" t="s">
        <v>47</v>
      </c>
    </row>
    <row r="268" spans="1:9" x14ac:dyDescent="0.3">
      <c r="A268" s="1">
        <v>45841</v>
      </c>
      <c r="B268" t="s">
        <v>14</v>
      </c>
      <c r="C268" t="s">
        <v>9</v>
      </c>
      <c r="D268" t="s">
        <v>10</v>
      </c>
      <c r="E268" t="s">
        <v>28</v>
      </c>
      <c r="F268">
        <v>2</v>
      </c>
      <c r="G268">
        <v>32.82</v>
      </c>
      <c r="H268">
        <v>65.64</v>
      </c>
      <c r="I268" t="s">
        <v>47</v>
      </c>
    </row>
    <row r="269" spans="1:9" x14ac:dyDescent="0.3">
      <c r="A269" s="1">
        <v>45857</v>
      </c>
      <c r="B269" t="s">
        <v>12</v>
      </c>
      <c r="C269" t="s">
        <v>21</v>
      </c>
      <c r="D269" t="s">
        <v>10</v>
      </c>
      <c r="E269" t="s">
        <v>26</v>
      </c>
      <c r="F269">
        <v>5</v>
      </c>
      <c r="G269">
        <v>45.88</v>
      </c>
      <c r="H269">
        <v>229.4</v>
      </c>
      <c r="I269" t="s">
        <v>47</v>
      </c>
    </row>
    <row r="270" spans="1:9" x14ac:dyDescent="0.3">
      <c r="A270" s="1">
        <v>45862</v>
      </c>
      <c r="B270" t="s">
        <v>20</v>
      </c>
      <c r="C270" t="s">
        <v>29</v>
      </c>
      <c r="D270" t="s">
        <v>30</v>
      </c>
      <c r="E270" t="s">
        <v>23</v>
      </c>
      <c r="F270">
        <v>1</v>
      </c>
      <c r="G270">
        <v>321.45</v>
      </c>
      <c r="H270">
        <v>321.45</v>
      </c>
      <c r="I270" t="s">
        <v>47</v>
      </c>
    </row>
    <row r="271" spans="1:9" x14ac:dyDescent="0.3">
      <c r="A271" s="1">
        <v>45866</v>
      </c>
      <c r="B271" t="s">
        <v>14</v>
      </c>
      <c r="C271" t="s">
        <v>22</v>
      </c>
      <c r="D271" t="s">
        <v>10</v>
      </c>
      <c r="E271" t="s">
        <v>11</v>
      </c>
      <c r="F271">
        <v>2</v>
      </c>
      <c r="G271">
        <v>74.3</v>
      </c>
      <c r="H271">
        <v>148.6</v>
      </c>
      <c r="I271" t="s">
        <v>47</v>
      </c>
    </row>
    <row r="272" spans="1:9" x14ac:dyDescent="0.3">
      <c r="A272" s="1">
        <v>45843</v>
      </c>
      <c r="B272" t="s">
        <v>20</v>
      </c>
      <c r="C272" t="s">
        <v>25</v>
      </c>
      <c r="D272" t="s">
        <v>16</v>
      </c>
      <c r="E272" t="s">
        <v>27</v>
      </c>
      <c r="F272">
        <v>5</v>
      </c>
      <c r="G272">
        <v>194.26</v>
      </c>
      <c r="H272">
        <v>971.3</v>
      </c>
      <c r="I272" t="s">
        <v>47</v>
      </c>
    </row>
    <row r="273" spans="1:9" x14ac:dyDescent="0.3">
      <c r="A273" s="1">
        <v>45858</v>
      </c>
      <c r="B273" t="s">
        <v>14</v>
      </c>
      <c r="C273" t="s">
        <v>24</v>
      </c>
      <c r="D273" t="s">
        <v>19</v>
      </c>
      <c r="E273" t="s">
        <v>31</v>
      </c>
      <c r="F273">
        <v>4</v>
      </c>
      <c r="G273">
        <v>227.57</v>
      </c>
      <c r="H273">
        <v>910.28</v>
      </c>
      <c r="I273" t="s">
        <v>47</v>
      </c>
    </row>
    <row r="274" spans="1:9" x14ac:dyDescent="0.3">
      <c r="A274" s="1">
        <v>45841</v>
      </c>
      <c r="B274" t="s">
        <v>12</v>
      </c>
      <c r="C274" t="s">
        <v>21</v>
      </c>
      <c r="D274" t="s">
        <v>10</v>
      </c>
      <c r="E274" t="s">
        <v>26</v>
      </c>
      <c r="F274">
        <v>5</v>
      </c>
      <c r="G274">
        <v>44.91</v>
      </c>
      <c r="H274">
        <v>224.55</v>
      </c>
      <c r="I274" t="s">
        <v>47</v>
      </c>
    </row>
    <row r="275" spans="1:9" x14ac:dyDescent="0.3">
      <c r="A275" s="1">
        <v>45844</v>
      </c>
      <c r="B275" t="s">
        <v>14</v>
      </c>
      <c r="C275" t="s">
        <v>15</v>
      </c>
      <c r="D275" t="s">
        <v>16</v>
      </c>
      <c r="E275" t="s">
        <v>27</v>
      </c>
      <c r="F275">
        <v>2</v>
      </c>
      <c r="G275">
        <v>390.94</v>
      </c>
      <c r="H275">
        <v>781.88</v>
      </c>
      <c r="I275" t="s">
        <v>47</v>
      </c>
    </row>
    <row r="276" spans="1:9" x14ac:dyDescent="0.3">
      <c r="A276" s="1">
        <v>45854</v>
      </c>
      <c r="B276" t="s">
        <v>14</v>
      </c>
      <c r="C276" t="s">
        <v>25</v>
      </c>
      <c r="D276" t="s">
        <v>16</v>
      </c>
      <c r="E276" t="s">
        <v>13</v>
      </c>
      <c r="F276">
        <v>3</v>
      </c>
      <c r="G276">
        <v>185.11</v>
      </c>
      <c r="H276">
        <v>555.33000000000004</v>
      </c>
      <c r="I276" t="s">
        <v>47</v>
      </c>
    </row>
    <row r="277" spans="1:9" x14ac:dyDescent="0.3">
      <c r="A277" s="1">
        <v>45844</v>
      </c>
      <c r="B277" t="s">
        <v>12</v>
      </c>
      <c r="C277" t="s">
        <v>22</v>
      </c>
      <c r="D277" t="s">
        <v>10</v>
      </c>
      <c r="E277" t="s">
        <v>28</v>
      </c>
      <c r="F277">
        <v>1</v>
      </c>
      <c r="G277">
        <v>72.290000000000006</v>
      </c>
      <c r="H277">
        <v>72.290000000000006</v>
      </c>
      <c r="I277" t="s">
        <v>47</v>
      </c>
    </row>
    <row r="278" spans="1:9" x14ac:dyDescent="0.3">
      <c r="A278" s="1">
        <v>45859</v>
      </c>
      <c r="B278" t="s">
        <v>8</v>
      </c>
      <c r="C278" t="s">
        <v>21</v>
      </c>
      <c r="D278" t="s">
        <v>10</v>
      </c>
      <c r="E278" t="s">
        <v>27</v>
      </c>
      <c r="F278">
        <v>3</v>
      </c>
      <c r="G278">
        <v>49.26</v>
      </c>
      <c r="H278">
        <v>147.78</v>
      </c>
      <c r="I278" t="s">
        <v>47</v>
      </c>
    </row>
    <row r="279" spans="1:9" x14ac:dyDescent="0.3">
      <c r="A279" s="1">
        <v>45844</v>
      </c>
      <c r="B279" t="s">
        <v>12</v>
      </c>
      <c r="C279" t="s">
        <v>24</v>
      </c>
      <c r="D279" t="s">
        <v>19</v>
      </c>
      <c r="E279" t="s">
        <v>31</v>
      </c>
      <c r="F279">
        <v>8</v>
      </c>
      <c r="G279">
        <v>246.41</v>
      </c>
      <c r="H279">
        <v>1971.28</v>
      </c>
      <c r="I279" t="s">
        <v>47</v>
      </c>
    </row>
    <row r="280" spans="1:9" x14ac:dyDescent="0.3">
      <c r="A280" s="1">
        <v>45841</v>
      </c>
      <c r="B280" t="s">
        <v>20</v>
      </c>
      <c r="C280" t="s">
        <v>15</v>
      </c>
      <c r="D280" t="s">
        <v>16</v>
      </c>
      <c r="E280" t="s">
        <v>31</v>
      </c>
      <c r="F280">
        <v>6</v>
      </c>
      <c r="G280">
        <v>400.12</v>
      </c>
      <c r="H280">
        <v>2400.7199999999998</v>
      </c>
      <c r="I280" t="s">
        <v>47</v>
      </c>
    </row>
    <row r="281" spans="1:9" x14ac:dyDescent="0.3">
      <c r="A281" s="1">
        <v>45855</v>
      </c>
      <c r="B281" t="s">
        <v>14</v>
      </c>
      <c r="C281" t="s">
        <v>25</v>
      </c>
      <c r="D281" t="s">
        <v>16</v>
      </c>
      <c r="E281" t="s">
        <v>13</v>
      </c>
      <c r="F281">
        <v>8</v>
      </c>
      <c r="G281">
        <v>163.29</v>
      </c>
      <c r="H281">
        <v>1306.32</v>
      </c>
      <c r="I281" t="s">
        <v>47</v>
      </c>
    </row>
    <row r="282" spans="1:9" x14ac:dyDescent="0.3">
      <c r="A282" s="1">
        <v>45845</v>
      </c>
      <c r="B282" t="s">
        <v>14</v>
      </c>
      <c r="C282" t="s">
        <v>25</v>
      </c>
      <c r="D282" t="s">
        <v>16</v>
      </c>
      <c r="E282" t="s">
        <v>26</v>
      </c>
      <c r="F282">
        <v>3</v>
      </c>
      <c r="G282">
        <v>183.27</v>
      </c>
      <c r="H282">
        <v>549.80999999999995</v>
      </c>
      <c r="I282" t="s">
        <v>47</v>
      </c>
    </row>
    <row r="283" spans="1:9" x14ac:dyDescent="0.3">
      <c r="A283" s="1">
        <v>45861</v>
      </c>
      <c r="B283" t="s">
        <v>8</v>
      </c>
      <c r="C283" t="s">
        <v>22</v>
      </c>
      <c r="D283" t="s">
        <v>10</v>
      </c>
      <c r="E283" t="s">
        <v>27</v>
      </c>
      <c r="F283">
        <v>5</v>
      </c>
      <c r="G283">
        <v>66.790000000000006</v>
      </c>
      <c r="H283">
        <v>333.95</v>
      </c>
      <c r="I283" t="s">
        <v>47</v>
      </c>
    </row>
    <row r="284" spans="1:9" x14ac:dyDescent="0.3">
      <c r="A284" s="1">
        <v>45847</v>
      </c>
      <c r="B284" t="s">
        <v>20</v>
      </c>
      <c r="C284" t="s">
        <v>24</v>
      </c>
      <c r="D284" t="s">
        <v>19</v>
      </c>
      <c r="E284" t="s">
        <v>28</v>
      </c>
      <c r="F284">
        <v>7</v>
      </c>
      <c r="G284">
        <v>232.82</v>
      </c>
      <c r="H284">
        <v>1629.74</v>
      </c>
      <c r="I284" t="s">
        <v>47</v>
      </c>
    </row>
    <row r="285" spans="1:9" x14ac:dyDescent="0.3">
      <c r="A285" s="1">
        <v>45868</v>
      </c>
      <c r="B285" t="s">
        <v>14</v>
      </c>
      <c r="C285" t="s">
        <v>24</v>
      </c>
      <c r="D285" t="s">
        <v>19</v>
      </c>
      <c r="E285" t="s">
        <v>26</v>
      </c>
      <c r="F285">
        <v>1</v>
      </c>
      <c r="G285">
        <v>228.47</v>
      </c>
      <c r="H285">
        <v>228.47</v>
      </c>
      <c r="I285" t="s">
        <v>47</v>
      </c>
    </row>
    <row r="286" spans="1:9" x14ac:dyDescent="0.3">
      <c r="A286" s="1">
        <v>45842</v>
      </c>
      <c r="B286" t="s">
        <v>14</v>
      </c>
      <c r="C286" t="s">
        <v>18</v>
      </c>
      <c r="D286" t="s">
        <v>19</v>
      </c>
      <c r="E286" t="s">
        <v>11</v>
      </c>
      <c r="F286">
        <v>8</v>
      </c>
      <c r="G286">
        <v>827</v>
      </c>
      <c r="H286">
        <v>6616</v>
      </c>
      <c r="I286" t="s">
        <v>47</v>
      </c>
    </row>
    <row r="287" spans="1:9" x14ac:dyDescent="0.3">
      <c r="A287" s="1">
        <v>45848</v>
      </c>
      <c r="B287" t="s">
        <v>14</v>
      </c>
      <c r="C287" t="s">
        <v>22</v>
      </c>
      <c r="D287" t="s">
        <v>10</v>
      </c>
      <c r="E287" t="s">
        <v>23</v>
      </c>
      <c r="F287">
        <v>6</v>
      </c>
      <c r="G287">
        <v>73.290000000000006</v>
      </c>
      <c r="H287">
        <v>439.74</v>
      </c>
      <c r="I287" t="s">
        <v>47</v>
      </c>
    </row>
    <row r="288" spans="1:9" x14ac:dyDescent="0.3">
      <c r="A288" s="1">
        <v>45859</v>
      </c>
      <c r="B288" t="s">
        <v>20</v>
      </c>
      <c r="C288" t="s">
        <v>15</v>
      </c>
      <c r="D288" t="s">
        <v>16</v>
      </c>
      <c r="E288" t="s">
        <v>27</v>
      </c>
      <c r="F288">
        <v>5</v>
      </c>
      <c r="G288">
        <v>389.76</v>
      </c>
      <c r="H288">
        <v>1948.8</v>
      </c>
      <c r="I288" t="s">
        <v>47</v>
      </c>
    </row>
    <row r="289" spans="1:9" x14ac:dyDescent="0.3">
      <c r="A289" s="1">
        <v>45858</v>
      </c>
      <c r="B289" t="s">
        <v>20</v>
      </c>
      <c r="C289" t="s">
        <v>24</v>
      </c>
      <c r="D289" t="s">
        <v>19</v>
      </c>
      <c r="E289" t="s">
        <v>13</v>
      </c>
      <c r="F289">
        <v>8</v>
      </c>
      <c r="G289">
        <v>230.16</v>
      </c>
      <c r="H289">
        <v>1841.28</v>
      </c>
      <c r="I289" t="s">
        <v>47</v>
      </c>
    </row>
    <row r="290" spans="1:9" x14ac:dyDescent="0.3">
      <c r="A290" s="1">
        <v>45856</v>
      </c>
      <c r="B290" t="s">
        <v>12</v>
      </c>
      <c r="C290" t="s">
        <v>9</v>
      </c>
      <c r="D290" t="s">
        <v>10</v>
      </c>
      <c r="E290" t="s">
        <v>27</v>
      </c>
      <c r="F290">
        <v>5</v>
      </c>
      <c r="G290">
        <v>32.33</v>
      </c>
      <c r="H290">
        <v>161.65</v>
      </c>
      <c r="I290" t="s">
        <v>47</v>
      </c>
    </row>
    <row r="291" spans="1:9" x14ac:dyDescent="0.3">
      <c r="A291" s="1">
        <v>45866</v>
      </c>
      <c r="B291" t="s">
        <v>8</v>
      </c>
      <c r="C291" t="s">
        <v>24</v>
      </c>
      <c r="D291" t="s">
        <v>19</v>
      </c>
      <c r="E291" t="s">
        <v>28</v>
      </c>
      <c r="F291">
        <v>8</v>
      </c>
      <c r="G291">
        <v>232.15</v>
      </c>
      <c r="H291">
        <v>1857.2</v>
      </c>
      <c r="I291" t="s">
        <v>47</v>
      </c>
    </row>
    <row r="292" spans="1:9" x14ac:dyDescent="0.3">
      <c r="A292" s="1">
        <v>45850</v>
      </c>
      <c r="B292" t="s">
        <v>8</v>
      </c>
      <c r="C292" t="s">
        <v>15</v>
      </c>
      <c r="D292" t="s">
        <v>16</v>
      </c>
      <c r="E292" t="s">
        <v>26</v>
      </c>
      <c r="F292">
        <v>6</v>
      </c>
      <c r="G292">
        <v>365.82</v>
      </c>
      <c r="H292">
        <v>2194.92</v>
      </c>
      <c r="I292" t="s">
        <v>47</v>
      </c>
    </row>
    <row r="293" spans="1:9" x14ac:dyDescent="0.3">
      <c r="A293" s="1">
        <v>45857</v>
      </c>
      <c r="B293" t="s">
        <v>14</v>
      </c>
      <c r="C293" t="s">
        <v>22</v>
      </c>
      <c r="D293" t="s">
        <v>10</v>
      </c>
      <c r="E293" t="s">
        <v>28</v>
      </c>
      <c r="F293">
        <v>8</v>
      </c>
      <c r="G293">
        <v>64.19</v>
      </c>
      <c r="H293">
        <v>513.52</v>
      </c>
      <c r="I293" t="s">
        <v>47</v>
      </c>
    </row>
    <row r="294" spans="1:9" x14ac:dyDescent="0.3">
      <c r="A294" s="1">
        <v>45865</v>
      </c>
      <c r="B294" t="s">
        <v>8</v>
      </c>
      <c r="C294" t="s">
        <v>15</v>
      </c>
      <c r="D294" t="s">
        <v>16</v>
      </c>
      <c r="E294" t="s">
        <v>13</v>
      </c>
      <c r="F294">
        <v>5</v>
      </c>
      <c r="G294">
        <v>399.41</v>
      </c>
      <c r="H294">
        <v>1997.05</v>
      </c>
      <c r="I294" t="s">
        <v>47</v>
      </c>
    </row>
    <row r="295" spans="1:9" x14ac:dyDescent="0.3">
      <c r="A295" s="1">
        <v>45841</v>
      </c>
      <c r="B295" t="s">
        <v>8</v>
      </c>
      <c r="C295" t="s">
        <v>21</v>
      </c>
      <c r="D295" t="s">
        <v>10</v>
      </c>
      <c r="E295" t="s">
        <v>26</v>
      </c>
      <c r="F295">
        <v>7</v>
      </c>
      <c r="G295">
        <v>45.75</v>
      </c>
      <c r="H295">
        <v>320.25</v>
      </c>
      <c r="I295" t="s">
        <v>47</v>
      </c>
    </row>
    <row r="296" spans="1:9" x14ac:dyDescent="0.3">
      <c r="A296" s="1">
        <v>45843</v>
      </c>
      <c r="B296" t="s">
        <v>20</v>
      </c>
      <c r="C296" t="s">
        <v>29</v>
      </c>
      <c r="D296" t="s">
        <v>30</v>
      </c>
      <c r="E296" t="s">
        <v>28</v>
      </c>
      <c r="F296">
        <v>6</v>
      </c>
      <c r="G296">
        <v>341.9</v>
      </c>
      <c r="H296">
        <v>2051.4</v>
      </c>
      <c r="I296" t="s">
        <v>47</v>
      </c>
    </row>
    <row r="297" spans="1:9" x14ac:dyDescent="0.3">
      <c r="A297" s="1">
        <v>45859</v>
      </c>
      <c r="B297" t="s">
        <v>14</v>
      </c>
      <c r="C297" t="s">
        <v>29</v>
      </c>
      <c r="D297" t="s">
        <v>30</v>
      </c>
      <c r="E297" t="s">
        <v>11</v>
      </c>
      <c r="F297">
        <v>4</v>
      </c>
      <c r="G297">
        <v>310.92</v>
      </c>
      <c r="H297">
        <v>1243.68</v>
      </c>
      <c r="I297" t="s">
        <v>47</v>
      </c>
    </row>
    <row r="298" spans="1:9" x14ac:dyDescent="0.3">
      <c r="A298" s="1">
        <v>45853</v>
      </c>
      <c r="B298" t="s">
        <v>14</v>
      </c>
      <c r="C298" t="s">
        <v>9</v>
      </c>
      <c r="D298" t="s">
        <v>10</v>
      </c>
      <c r="E298" t="s">
        <v>13</v>
      </c>
      <c r="F298">
        <v>1</v>
      </c>
      <c r="G298">
        <v>27.17</v>
      </c>
      <c r="H298">
        <v>27.17</v>
      </c>
      <c r="I298" t="s">
        <v>47</v>
      </c>
    </row>
    <row r="299" spans="1:9" x14ac:dyDescent="0.3">
      <c r="A299" s="1">
        <v>45455</v>
      </c>
      <c r="B299" t="s">
        <v>20</v>
      </c>
      <c r="C299" t="s">
        <v>9</v>
      </c>
      <c r="D299" t="s">
        <v>10</v>
      </c>
      <c r="E299" t="s">
        <v>13</v>
      </c>
      <c r="F299">
        <v>2</v>
      </c>
      <c r="G299">
        <v>27.39</v>
      </c>
      <c r="H299">
        <v>54.78</v>
      </c>
      <c r="I299" t="s">
        <v>48</v>
      </c>
    </row>
    <row r="300" spans="1:9" x14ac:dyDescent="0.3">
      <c r="A300" s="1">
        <v>45451</v>
      </c>
      <c r="B300" t="s">
        <v>8</v>
      </c>
      <c r="C300" t="s">
        <v>29</v>
      </c>
      <c r="D300" t="s">
        <v>30</v>
      </c>
      <c r="E300" t="s">
        <v>11</v>
      </c>
      <c r="F300">
        <v>8</v>
      </c>
      <c r="G300">
        <v>294.25</v>
      </c>
      <c r="H300">
        <v>2354</v>
      </c>
      <c r="I300" t="s">
        <v>48</v>
      </c>
    </row>
    <row r="301" spans="1:9" x14ac:dyDescent="0.3">
      <c r="A301" s="1">
        <v>45458</v>
      </c>
      <c r="B301" t="s">
        <v>12</v>
      </c>
      <c r="C301" t="s">
        <v>22</v>
      </c>
      <c r="D301" t="s">
        <v>10</v>
      </c>
      <c r="E301" t="s">
        <v>11</v>
      </c>
      <c r="F301">
        <v>2</v>
      </c>
      <c r="G301">
        <v>73.209999999999994</v>
      </c>
      <c r="H301">
        <v>146.41999999999999</v>
      </c>
      <c r="I301" t="s">
        <v>48</v>
      </c>
    </row>
    <row r="302" spans="1:9" x14ac:dyDescent="0.3">
      <c r="A302" s="1">
        <v>45467</v>
      </c>
      <c r="B302" t="s">
        <v>20</v>
      </c>
      <c r="C302" t="s">
        <v>18</v>
      </c>
      <c r="D302" t="s">
        <v>19</v>
      </c>
      <c r="E302" t="s">
        <v>26</v>
      </c>
      <c r="F302">
        <v>4</v>
      </c>
      <c r="G302">
        <v>924.76</v>
      </c>
      <c r="H302">
        <v>3699.04</v>
      </c>
      <c r="I302" t="s">
        <v>48</v>
      </c>
    </row>
    <row r="303" spans="1:9" x14ac:dyDescent="0.3">
      <c r="A303" s="1">
        <v>45459</v>
      </c>
      <c r="B303" t="s">
        <v>12</v>
      </c>
      <c r="C303" t="s">
        <v>18</v>
      </c>
      <c r="D303" t="s">
        <v>19</v>
      </c>
      <c r="E303" t="s">
        <v>31</v>
      </c>
      <c r="F303">
        <v>7</v>
      </c>
      <c r="G303">
        <v>831.53</v>
      </c>
      <c r="H303">
        <v>5820.71</v>
      </c>
      <c r="I303" t="s">
        <v>48</v>
      </c>
    </row>
    <row r="304" spans="1:9" x14ac:dyDescent="0.3">
      <c r="A304" s="1">
        <v>45448</v>
      </c>
      <c r="B304" t="s">
        <v>20</v>
      </c>
      <c r="C304" t="s">
        <v>22</v>
      </c>
      <c r="D304" t="s">
        <v>10</v>
      </c>
      <c r="E304" t="s">
        <v>31</v>
      </c>
      <c r="F304">
        <v>1</v>
      </c>
      <c r="G304">
        <v>67.52</v>
      </c>
      <c r="H304">
        <v>67.52</v>
      </c>
      <c r="I304" t="s">
        <v>48</v>
      </c>
    </row>
    <row r="305" spans="1:9" x14ac:dyDescent="0.3">
      <c r="A305" s="1">
        <v>45455</v>
      </c>
      <c r="B305" t="s">
        <v>12</v>
      </c>
      <c r="C305" t="s">
        <v>24</v>
      </c>
      <c r="D305" t="s">
        <v>19</v>
      </c>
      <c r="E305" t="s">
        <v>27</v>
      </c>
      <c r="F305">
        <v>3</v>
      </c>
      <c r="G305">
        <v>260.14999999999998</v>
      </c>
      <c r="H305">
        <v>780.45</v>
      </c>
      <c r="I305" t="s">
        <v>48</v>
      </c>
    </row>
    <row r="306" spans="1:9" x14ac:dyDescent="0.3">
      <c r="A306" s="1">
        <v>45453</v>
      </c>
      <c r="B306" t="s">
        <v>20</v>
      </c>
      <c r="C306" t="s">
        <v>24</v>
      </c>
      <c r="D306" t="s">
        <v>19</v>
      </c>
      <c r="E306" t="s">
        <v>28</v>
      </c>
      <c r="F306">
        <v>3</v>
      </c>
      <c r="G306">
        <v>243.39</v>
      </c>
      <c r="H306">
        <v>730.17</v>
      </c>
      <c r="I306" t="s">
        <v>48</v>
      </c>
    </row>
    <row r="307" spans="1:9" x14ac:dyDescent="0.3">
      <c r="A307" s="1">
        <v>45448</v>
      </c>
      <c r="B307" t="s">
        <v>20</v>
      </c>
      <c r="C307" t="s">
        <v>15</v>
      </c>
      <c r="D307" t="s">
        <v>16</v>
      </c>
      <c r="E307" t="s">
        <v>27</v>
      </c>
      <c r="F307">
        <v>1</v>
      </c>
      <c r="G307">
        <v>411.61</v>
      </c>
      <c r="H307">
        <v>411.61</v>
      </c>
      <c r="I307" t="s">
        <v>48</v>
      </c>
    </row>
    <row r="308" spans="1:9" x14ac:dyDescent="0.3">
      <c r="A308" s="1">
        <v>45457</v>
      </c>
      <c r="B308" t="s">
        <v>14</v>
      </c>
      <c r="C308" t="s">
        <v>25</v>
      </c>
      <c r="D308" t="s">
        <v>16</v>
      </c>
      <c r="E308" t="s">
        <v>26</v>
      </c>
      <c r="F308">
        <v>1</v>
      </c>
      <c r="G308">
        <v>186.87</v>
      </c>
      <c r="H308">
        <v>186.87</v>
      </c>
      <c r="I308" t="s">
        <v>48</v>
      </c>
    </row>
    <row r="309" spans="1:9" x14ac:dyDescent="0.3">
      <c r="A309" s="1">
        <v>45461</v>
      </c>
      <c r="B309" t="s">
        <v>14</v>
      </c>
      <c r="C309" t="s">
        <v>21</v>
      </c>
      <c r="D309" t="s">
        <v>10</v>
      </c>
      <c r="E309" t="s">
        <v>26</v>
      </c>
      <c r="F309">
        <v>5</v>
      </c>
      <c r="G309">
        <v>41.26</v>
      </c>
      <c r="H309">
        <v>206.3</v>
      </c>
      <c r="I309" t="s">
        <v>48</v>
      </c>
    </row>
    <row r="310" spans="1:9" x14ac:dyDescent="0.3">
      <c r="A310" s="1">
        <v>45462</v>
      </c>
      <c r="B310" t="s">
        <v>20</v>
      </c>
      <c r="C310" t="s">
        <v>29</v>
      </c>
      <c r="D310" t="s">
        <v>30</v>
      </c>
      <c r="E310" t="s">
        <v>26</v>
      </c>
      <c r="F310">
        <v>4</v>
      </c>
      <c r="G310">
        <v>311.05</v>
      </c>
      <c r="H310">
        <v>1244.2</v>
      </c>
      <c r="I310" t="s">
        <v>48</v>
      </c>
    </row>
    <row r="311" spans="1:9" x14ac:dyDescent="0.3">
      <c r="A311" s="1">
        <v>45460</v>
      </c>
      <c r="B311" t="s">
        <v>8</v>
      </c>
      <c r="C311" t="s">
        <v>21</v>
      </c>
      <c r="D311" t="s">
        <v>10</v>
      </c>
      <c r="E311" t="s">
        <v>17</v>
      </c>
      <c r="F311">
        <v>8</v>
      </c>
      <c r="G311">
        <v>40.97</v>
      </c>
      <c r="H311">
        <v>327.76</v>
      </c>
      <c r="I311" t="s">
        <v>48</v>
      </c>
    </row>
    <row r="312" spans="1:9" x14ac:dyDescent="0.3">
      <c r="A312" s="1">
        <v>45450</v>
      </c>
      <c r="B312" t="s">
        <v>8</v>
      </c>
      <c r="C312" t="s">
        <v>29</v>
      </c>
      <c r="D312" t="s">
        <v>30</v>
      </c>
      <c r="E312" t="s">
        <v>23</v>
      </c>
      <c r="F312">
        <v>8</v>
      </c>
      <c r="G312">
        <v>289.62</v>
      </c>
      <c r="H312">
        <v>2316.96</v>
      </c>
      <c r="I312" t="s">
        <v>48</v>
      </c>
    </row>
    <row r="313" spans="1:9" x14ac:dyDescent="0.3">
      <c r="A313" s="1">
        <v>45453</v>
      </c>
      <c r="B313" t="s">
        <v>14</v>
      </c>
      <c r="C313" t="s">
        <v>18</v>
      </c>
      <c r="D313" t="s">
        <v>19</v>
      </c>
      <c r="E313" t="s">
        <v>11</v>
      </c>
      <c r="F313">
        <v>8</v>
      </c>
      <c r="G313">
        <v>920.11</v>
      </c>
      <c r="H313">
        <v>7360.88</v>
      </c>
      <c r="I313" t="s">
        <v>48</v>
      </c>
    </row>
    <row r="314" spans="1:9" x14ac:dyDescent="0.3">
      <c r="A314" s="1">
        <v>45453</v>
      </c>
      <c r="B314" t="s">
        <v>20</v>
      </c>
      <c r="C314" t="s">
        <v>18</v>
      </c>
      <c r="D314" t="s">
        <v>19</v>
      </c>
      <c r="E314" t="s">
        <v>17</v>
      </c>
      <c r="F314">
        <v>1</v>
      </c>
      <c r="G314">
        <v>923.21</v>
      </c>
      <c r="H314">
        <v>923.21</v>
      </c>
      <c r="I314" t="s">
        <v>48</v>
      </c>
    </row>
    <row r="315" spans="1:9" x14ac:dyDescent="0.3">
      <c r="A315" s="1">
        <v>45451</v>
      </c>
      <c r="B315" t="s">
        <v>20</v>
      </c>
      <c r="C315" t="s">
        <v>9</v>
      </c>
      <c r="D315" t="s">
        <v>10</v>
      </c>
      <c r="E315" t="s">
        <v>11</v>
      </c>
      <c r="F315">
        <v>1</v>
      </c>
      <c r="G315">
        <v>32.42</v>
      </c>
      <c r="H315">
        <v>32.42</v>
      </c>
      <c r="I315" t="s">
        <v>48</v>
      </c>
    </row>
    <row r="316" spans="1:9" x14ac:dyDescent="0.3">
      <c r="A316" s="1">
        <v>45457</v>
      </c>
      <c r="B316" t="s">
        <v>8</v>
      </c>
      <c r="C316" t="s">
        <v>25</v>
      </c>
      <c r="D316" t="s">
        <v>16</v>
      </c>
      <c r="E316" t="s">
        <v>13</v>
      </c>
      <c r="F316">
        <v>5</v>
      </c>
      <c r="G316">
        <v>181.78</v>
      </c>
      <c r="H316">
        <v>908.9</v>
      </c>
      <c r="I316" t="s">
        <v>48</v>
      </c>
    </row>
    <row r="317" spans="1:9" x14ac:dyDescent="0.3">
      <c r="A317" s="1">
        <v>45444</v>
      </c>
      <c r="B317" t="s">
        <v>14</v>
      </c>
      <c r="C317" t="s">
        <v>24</v>
      </c>
      <c r="D317" t="s">
        <v>19</v>
      </c>
      <c r="E317" t="s">
        <v>31</v>
      </c>
      <c r="F317">
        <v>5</v>
      </c>
      <c r="G317">
        <v>260.05</v>
      </c>
      <c r="H317">
        <v>1300.25</v>
      </c>
      <c r="I317" t="s">
        <v>48</v>
      </c>
    </row>
    <row r="318" spans="1:9" x14ac:dyDescent="0.3">
      <c r="A318" s="1">
        <v>45450</v>
      </c>
      <c r="B318" t="s">
        <v>8</v>
      </c>
      <c r="C318" t="s">
        <v>29</v>
      </c>
      <c r="D318" t="s">
        <v>30</v>
      </c>
      <c r="E318" t="s">
        <v>28</v>
      </c>
      <c r="F318">
        <v>1</v>
      </c>
      <c r="G318">
        <v>291.60000000000002</v>
      </c>
      <c r="H318">
        <v>291.60000000000002</v>
      </c>
      <c r="I318" t="s">
        <v>48</v>
      </c>
    </row>
    <row r="319" spans="1:9" x14ac:dyDescent="0.3">
      <c r="A319" s="1">
        <v>45458</v>
      </c>
      <c r="B319" t="s">
        <v>20</v>
      </c>
      <c r="C319" t="s">
        <v>15</v>
      </c>
      <c r="D319" t="s">
        <v>16</v>
      </c>
      <c r="E319" t="s">
        <v>28</v>
      </c>
      <c r="F319">
        <v>3</v>
      </c>
      <c r="G319">
        <v>369.4</v>
      </c>
      <c r="H319">
        <v>1108.2</v>
      </c>
      <c r="I319" t="s">
        <v>48</v>
      </c>
    </row>
    <row r="320" spans="1:9" x14ac:dyDescent="0.3">
      <c r="A320" s="1">
        <v>45473</v>
      </c>
      <c r="B320" t="s">
        <v>20</v>
      </c>
      <c r="C320" t="s">
        <v>9</v>
      </c>
      <c r="D320" t="s">
        <v>10</v>
      </c>
      <c r="E320" t="s">
        <v>26</v>
      </c>
      <c r="F320">
        <v>8</v>
      </c>
      <c r="G320">
        <v>30.9</v>
      </c>
      <c r="H320">
        <v>247.2</v>
      </c>
      <c r="I320" t="s">
        <v>48</v>
      </c>
    </row>
    <row r="321" spans="1:9" x14ac:dyDescent="0.3">
      <c r="A321" s="1">
        <v>45455</v>
      </c>
      <c r="B321" t="s">
        <v>20</v>
      </c>
      <c r="C321" t="s">
        <v>15</v>
      </c>
      <c r="D321" t="s">
        <v>16</v>
      </c>
      <c r="E321" t="s">
        <v>13</v>
      </c>
      <c r="F321">
        <v>1</v>
      </c>
      <c r="G321">
        <v>360.97</v>
      </c>
      <c r="H321">
        <v>360.97</v>
      </c>
      <c r="I321" t="s">
        <v>48</v>
      </c>
    </row>
    <row r="322" spans="1:9" x14ac:dyDescent="0.3">
      <c r="A322" s="1">
        <v>45470</v>
      </c>
      <c r="B322" t="s">
        <v>8</v>
      </c>
      <c r="C322" t="s">
        <v>18</v>
      </c>
      <c r="D322" t="s">
        <v>19</v>
      </c>
      <c r="E322" t="s">
        <v>23</v>
      </c>
      <c r="F322">
        <v>1</v>
      </c>
      <c r="G322">
        <v>909.34</v>
      </c>
      <c r="H322">
        <v>909.34</v>
      </c>
      <c r="I322" t="s">
        <v>48</v>
      </c>
    </row>
    <row r="323" spans="1:9" x14ac:dyDescent="0.3">
      <c r="A323" s="1">
        <v>45465</v>
      </c>
      <c r="B323" t="s">
        <v>20</v>
      </c>
      <c r="C323" t="s">
        <v>24</v>
      </c>
      <c r="D323" t="s">
        <v>19</v>
      </c>
      <c r="E323" t="s">
        <v>23</v>
      </c>
      <c r="F323">
        <v>8</v>
      </c>
      <c r="G323">
        <v>268.12</v>
      </c>
      <c r="H323">
        <v>2144.96</v>
      </c>
      <c r="I323" t="s">
        <v>48</v>
      </c>
    </row>
    <row r="324" spans="1:9" x14ac:dyDescent="0.3">
      <c r="A324" s="1">
        <v>45809</v>
      </c>
      <c r="B324" t="s">
        <v>8</v>
      </c>
      <c r="C324" t="s">
        <v>15</v>
      </c>
      <c r="D324" t="s">
        <v>16</v>
      </c>
      <c r="E324" t="s">
        <v>26</v>
      </c>
      <c r="F324">
        <v>3</v>
      </c>
      <c r="G324">
        <v>394.56</v>
      </c>
      <c r="H324">
        <v>1183.68</v>
      </c>
      <c r="I324" t="s">
        <v>49</v>
      </c>
    </row>
    <row r="325" spans="1:9" x14ac:dyDescent="0.3">
      <c r="A325" s="1">
        <v>45838</v>
      </c>
      <c r="B325" t="s">
        <v>8</v>
      </c>
      <c r="C325" t="s">
        <v>29</v>
      </c>
      <c r="D325" t="s">
        <v>30</v>
      </c>
      <c r="E325" t="s">
        <v>13</v>
      </c>
      <c r="F325">
        <v>8</v>
      </c>
      <c r="G325">
        <v>344.78</v>
      </c>
      <c r="H325">
        <v>2758.24</v>
      </c>
      <c r="I325" t="s">
        <v>49</v>
      </c>
    </row>
    <row r="326" spans="1:9" x14ac:dyDescent="0.3">
      <c r="A326" s="1">
        <v>45813</v>
      </c>
      <c r="B326" t="s">
        <v>8</v>
      </c>
      <c r="C326" t="s">
        <v>25</v>
      </c>
      <c r="D326" t="s">
        <v>16</v>
      </c>
      <c r="E326" t="s">
        <v>13</v>
      </c>
      <c r="F326">
        <v>2</v>
      </c>
      <c r="G326">
        <v>177.03</v>
      </c>
      <c r="H326">
        <v>354.06</v>
      </c>
      <c r="I326" t="s">
        <v>49</v>
      </c>
    </row>
    <row r="327" spans="1:9" x14ac:dyDescent="0.3">
      <c r="A327" s="1">
        <v>45833</v>
      </c>
      <c r="B327" t="s">
        <v>12</v>
      </c>
      <c r="C327" t="s">
        <v>24</v>
      </c>
      <c r="D327" t="s">
        <v>19</v>
      </c>
      <c r="E327" t="s">
        <v>27</v>
      </c>
      <c r="F327">
        <v>4</v>
      </c>
      <c r="G327">
        <v>255.48</v>
      </c>
      <c r="H327">
        <v>1021.92</v>
      </c>
      <c r="I327" t="s">
        <v>49</v>
      </c>
    </row>
    <row r="328" spans="1:9" x14ac:dyDescent="0.3">
      <c r="A328" s="1">
        <v>45811</v>
      </c>
      <c r="B328" t="s">
        <v>8</v>
      </c>
      <c r="C328" t="s">
        <v>25</v>
      </c>
      <c r="D328" t="s">
        <v>16</v>
      </c>
      <c r="E328" t="s">
        <v>13</v>
      </c>
      <c r="F328">
        <v>3</v>
      </c>
      <c r="G328">
        <v>173.55</v>
      </c>
      <c r="H328">
        <v>520.65</v>
      </c>
      <c r="I328" t="s">
        <v>49</v>
      </c>
    </row>
    <row r="329" spans="1:9" x14ac:dyDescent="0.3">
      <c r="A329" s="1">
        <v>45811</v>
      </c>
      <c r="B329" t="s">
        <v>14</v>
      </c>
      <c r="C329" t="s">
        <v>25</v>
      </c>
      <c r="D329" t="s">
        <v>16</v>
      </c>
      <c r="E329" t="s">
        <v>26</v>
      </c>
      <c r="F329">
        <v>2</v>
      </c>
      <c r="G329">
        <v>162.6</v>
      </c>
      <c r="H329">
        <v>325.2</v>
      </c>
      <c r="I329" t="s">
        <v>49</v>
      </c>
    </row>
    <row r="330" spans="1:9" x14ac:dyDescent="0.3">
      <c r="A330" s="1">
        <v>45835</v>
      </c>
      <c r="B330" t="s">
        <v>8</v>
      </c>
      <c r="C330" t="s">
        <v>24</v>
      </c>
      <c r="D330" t="s">
        <v>19</v>
      </c>
      <c r="E330" t="s">
        <v>11</v>
      </c>
      <c r="F330">
        <v>4</v>
      </c>
      <c r="G330">
        <v>271.83999999999997</v>
      </c>
      <c r="H330">
        <v>1087.3599999999999</v>
      </c>
      <c r="I330" t="s">
        <v>49</v>
      </c>
    </row>
    <row r="331" spans="1:9" x14ac:dyDescent="0.3">
      <c r="A331" s="1">
        <v>45837</v>
      </c>
      <c r="B331" t="s">
        <v>20</v>
      </c>
      <c r="C331" t="s">
        <v>21</v>
      </c>
      <c r="D331" t="s">
        <v>10</v>
      </c>
      <c r="E331" t="s">
        <v>13</v>
      </c>
      <c r="F331">
        <v>8</v>
      </c>
      <c r="G331">
        <v>43.64</v>
      </c>
      <c r="H331">
        <v>349.12</v>
      </c>
      <c r="I331" t="s">
        <v>49</v>
      </c>
    </row>
    <row r="332" spans="1:9" x14ac:dyDescent="0.3">
      <c r="A332" s="1">
        <v>45832</v>
      </c>
      <c r="B332" t="s">
        <v>20</v>
      </c>
      <c r="C332" t="s">
        <v>22</v>
      </c>
      <c r="D332" t="s">
        <v>10</v>
      </c>
      <c r="E332" t="s">
        <v>28</v>
      </c>
      <c r="F332">
        <v>8</v>
      </c>
      <c r="G332">
        <v>75.58</v>
      </c>
      <c r="H332">
        <v>604.64</v>
      </c>
      <c r="I332" t="s">
        <v>49</v>
      </c>
    </row>
    <row r="333" spans="1:9" x14ac:dyDescent="0.3">
      <c r="A333" s="1">
        <v>45821</v>
      </c>
      <c r="B333" t="s">
        <v>12</v>
      </c>
      <c r="C333" t="s">
        <v>21</v>
      </c>
      <c r="D333" t="s">
        <v>10</v>
      </c>
      <c r="E333" t="s">
        <v>26</v>
      </c>
      <c r="F333">
        <v>6</v>
      </c>
      <c r="G333">
        <v>47.22</v>
      </c>
      <c r="H333">
        <v>283.32</v>
      </c>
      <c r="I333" t="s">
        <v>49</v>
      </c>
    </row>
    <row r="334" spans="1:9" x14ac:dyDescent="0.3">
      <c r="A334" s="1">
        <v>45818</v>
      </c>
      <c r="B334" t="s">
        <v>20</v>
      </c>
      <c r="C334" t="s">
        <v>21</v>
      </c>
      <c r="D334" t="s">
        <v>10</v>
      </c>
      <c r="E334" t="s">
        <v>17</v>
      </c>
      <c r="F334">
        <v>1</v>
      </c>
      <c r="G334">
        <v>48.96</v>
      </c>
      <c r="H334">
        <v>48.96</v>
      </c>
      <c r="I334" t="s">
        <v>49</v>
      </c>
    </row>
    <row r="335" spans="1:9" x14ac:dyDescent="0.3">
      <c r="A335" s="1">
        <v>45835</v>
      </c>
      <c r="B335" t="s">
        <v>20</v>
      </c>
      <c r="C335" t="s">
        <v>18</v>
      </c>
      <c r="D335" t="s">
        <v>19</v>
      </c>
      <c r="E335" t="s">
        <v>31</v>
      </c>
      <c r="F335">
        <v>8</v>
      </c>
      <c r="G335">
        <v>909.78</v>
      </c>
      <c r="H335">
        <v>7278.24</v>
      </c>
      <c r="I335" t="s">
        <v>49</v>
      </c>
    </row>
    <row r="336" spans="1:9" x14ac:dyDescent="0.3">
      <c r="A336" s="1">
        <v>45812</v>
      </c>
      <c r="B336" t="s">
        <v>8</v>
      </c>
      <c r="C336" t="s">
        <v>9</v>
      </c>
      <c r="D336" t="s">
        <v>10</v>
      </c>
      <c r="E336" t="s">
        <v>28</v>
      </c>
      <c r="F336">
        <v>1</v>
      </c>
      <c r="G336">
        <v>28.49</v>
      </c>
      <c r="H336">
        <v>28.49</v>
      </c>
      <c r="I336" t="s">
        <v>49</v>
      </c>
    </row>
    <row r="337" spans="1:9" x14ac:dyDescent="0.3">
      <c r="A337" s="1">
        <v>45827</v>
      </c>
      <c r="B337" t="s">
        <v>8</v>
      </c>
      <c r="C337" t="s">
        <v>18</v>
      </c>
      <c r="D337" t="s">
        <v>19</v>
      </c>
      <c r="E337" t="s">
        <v>26</v>
      </c>
      <c r="F337">
        <v>7</v>
      </c>
      <c r="G337">
        <v>900.56</v>
      </c>
      <c r="H337">
        <v>6303.92</v>
      </c>
      <c r="I337" t="s">
        <v>49</v>
      </c>
    </row>
    <row r="338" spans="1:9" x14ac:dyDescent="0.3">
      <c r="A338" s="1">
        <v>45810</v>
      </c>
      <c r="B338" t="s">
        <v>20</v>
      </c>
      <c r="C338" t="s">
        <v>18</v>
      </c>
      <c r="D338" t="s">
        <v>19</v>
      </c>
      <c r="E338" t="s">
        <v>27</v>
      </c>
      <c r="F338">
        <v>7</v>
      </c>
      <c r="G338">
        <v>822.81</v>
      </c>
      <c r="H338">
        <v>5759.67</v>
      </c>
      <c r="I338" t="s">
        <v>49</v>
      </c>
    </row>
    <row r="339" spans="1:9" x14ac:dyDescent="0.3">
      <c r="A339" s="1">
        <v>45833</v>
      </c>
      <c r="B339" t="s">
        <v>12</v>
      </c>
      <c r="C339" t="s">
        <v>9</v>
      </c>
      <c r="D339" t="s">
        <v>10</v>
      </c>
      <c r="E339" t="s">
        <v>26</v>
      </c>
      <c r="F339">
        <v>4</v>
      </c>
      <c r="G339">
        <v>31.84</v>
      </c>
      <c r="H339">
        <v>127.36</v>
      </c>
      <c r="I339" t="s">
        <v>49</v>
      </c>
    </row>
    <row r="340" spans="1:9" x14ac:dyDescent="0.3">
      <c r="A340" s="1">
        <v>45809</v>
      </c>
      <c r="B340" t="s">
        <v>20</v>
      </c>
      <c r="C340" t="s">
        <v>21</v>
      </c>
      <c r="D340" t="s">
        <v>10</v>
      </c>
      <c r="E340" t="s">
        <v>11</v>
      </c>
      <c r="F340">
        <v>1</v>
      </c>
      <c r="G340">
        <v>49.05</v>
      </c>
      <c r="H340">
        <v>49.05</v>
      </c>
      <c r="I340" t="s">
        <v>49</v>
      </c>
    </row>
    <row r="341" spans="1:9" x14ac:dyDescent="0.3">
      <c r="A341" s="1">
        <v>45813</v>
      </c>
      <c r="B341" t="s">
        <v>20</v>
      </c>
      <c r="C341" t="s">
        <v>24</v>
      </c>
      <c r="D341" t="s">
        <v>19</v>
      </c>
      <c r="E341" t="s">
        <v>13</v>
      </c>
      <c r="F341">
        <v>3</v>
      </c>
      <c r="G341">
        <v>234.41</v>
      </c>
      <c r="H341">
        <v>703.23</v>
      </c>
      <c r="I341" t="s">
        <v>49</v>
      </c>
    </row>
    <row r="342" spans="1:9" x14ac:dyDescent="0.3">
      <c r="A342" s="1">
        <v>45815</v>
      </c>
      <c r="B342" t="s">
        <v>20</v>
      </c>
      <c r="C342" t="s">
        <v>18</v>
      </c>
      <c r="D342" t="s">
        <v>19</v>
      </c>
      <c r="E342" t="s">
        <v>26</v>
      </c>
      <c r="F342">
        <v>6</v>
      </c>
      <c r="G342">
        <v>977.89</v>
      </c>
      <c r="H342">
        <v>5867.34</v>
      </c>
      <c r="I342" t="s">
        <v>49</v>
      </c>
    </row>
    <row r="343" spans="1:9" x14ac:dyDescent="0.3">
      <c r="A343" s="1">
        <v>45824</v>
      </c>
      <c r="B343" t="s">
        <v>14</v>
      </c>
      <c r="C343" t="s">
        <v>9</v>
      </c>
      <c r="D343" t="s">
        <v>10</v>
      </c>
      <c r="E343" t="s">
        <v>17</v>
      </c>
      <c r="F343">
        <v>7</v>
      </c>
      <c r="G343">
        <v>32.82</v>
      </c>
      <c r="H343">
        <v>229.74</v>
      </c>
      <c r="I343" t="s">
        <v>49</v>
      </c>
    </row>
    <row r="344" spans="1:9" x14ac:dyDescent="0.3">
      <c r="A344" s="1">
        <v>45811</v>
      </c>
      <c r="B344" t="s">
        <v>20</v>
      </c>
      <c r="C344" t="s">
        <v>25</v>
      </c>
      <c r="D344" t="s">
        <v>16</v>
      </c>
      <c r="E344" t="s">
        <v>26</v>
      </c>
      <c r="F344">
        <v>6</v>
      </c>
      <c r="G344">
        <v>170.9</v>
      </c>
      <c r="H344">
        <v>1025.4000000000001</v>
      </c>
      <c r="I344" t="s">
        <v>49</v>
      </c>
    </row>
    <row r="345" spans="1:9" x14ac:dyDescent="0.3">
      <c r="A345" s="1">
        <v>45815</v>
      </c>
      <c r="B345" t="s">
        <v>12</v>
      </c>
      <c r="C345" t="s">
        <v>24</v>
      </c>
      <c r="D345" t="s">
        <v>19</v>
      </c>
      <c r="E345" t="s">
        <v>27</v>
      </c>
      <c r="F345">
        <v>6</v>
      </c>
      <c r="G345">
        <v>244.83</v>
      </c>
      <c r="H345">
        <v>1468.98</v>
      </c>
      <c r="I345" t="s">
        <v>49</v>
      </c>
    </row>
    <row r="346" spans="1:9" x14ac:dyDescent="0.3">
      <c r="A346" s="1">
        <v>45819</v>
      </c>
      <c r="B346" t="s">
        <v>14</v>
      </c>
      <c r="C346" t="s">
        <v>9</v>
      </c>
      <c r="D346" t="s">
        <v>10</v>
      </c>
      <c r="E346" t="s">
        <v>27</v>
      </c>
      <c r="F346">
        <v>4</v>
      </c>
      <c r="G346">
        <v>29.95</v>
      </c>
      <c r="H346">
        <v>119.8</v>
      </c>
      <c r="I346" t="s">
        <v>49</v>
      </c>
    </row>
    <row r="347" spans="1:9" x14ac:dyDescent="0.3">
      <c r="A347" s="1">
        <v>45381</v>
      </c>
      <c r="B347" t="s">
        <v>8</v>
      </c>
      <c r="C347" t="s">
        <v>21</v>
      </c>
      <c r="D347" t="s">
        <v>10</v>
      </c>
      <c r="E347" t="s">
        <v>26</v>
      </c>
      <c r="F347">
        <v>4</v>
      </c>
      <c r="G347">
        <v>40.69</v>
      </c>
      <c r="H347">
        <v>162.76</v>
      </c>
      <c r="I347" t="s">
        <v>50</v>
      </c>
    </row>
    <row r="348" spans="1:9" x14ac:dyDescent="0.3">
      <c r="A348" s="1">
        <v>45372</v>
      </c>
      <c r="B348" t="s">
        <v>14</v>
      </c>
      <c r="C348" t="s">
        <v>9</v>
      </c>
      <c r="D348" t="s">
        <v>10</v>
      </c>
      <c r="E348" t="s">
        <v>28</v>
      </c>
      <c r="F348">
        <v>5</v>
      </c>
      <c r="G348">
        <v>32.369999999999997</v>
      </c>
      <c r="H348">
        <v>161.85</v>
      </c>
      <c r="I348" t="s">
        <v>50</v>
      </c>
    </row>
    <row r="349" spans="1:9" x14ac:dyDescent="0.3">
      <c r="A349" s="1">
        <v>45363</v>
      </c>
      <c r="B349" t="s">
        <v>14</v>
      </c>
      <c r="C349" t="s">
        <v>24</v>
      </c>
      <c r="D349" t="s">
        <v>19</v>
      </c>
      <c r="E349" t="s">
        <v>11</v>
      </c>
      <c r="F349">
        <v>7</v>
      </c>
      <c r="G349">
        <v>266.44</v>
      </c>
      <c r="H349">
        <v>1865.08</v>
      </c>
      <c r="I349" t="s">
        <v>50</v>
      </c>
    </row>
    <row r="350" spans="1:9" x14ac:dyDescent="0.3">
      <c r="A350" s="1">
        <v>45373</v>
      </c>
      <c r="B350" t="s">
        <v>8</v>
      </c>
      <c r="C350" t="s">
        <v>18</v>
      </c>
      <c r="D350" t="s">
        <v>19</v>
      </c>
      <c r="E350" t="s">
        <v>17</v>
      </c>
      <c r="F350">
        <v>7</v>
      </c>
      <c r="G350">
        <v>954.4</v>
      </c>
      <c r="H350">
        <v>6680.8</v>
      </c>
      <c r="I350" t="s">
        <v>50</v>
      </c>
    </row>
    <row r="351" spans="1:9" x14ac:dyDescent="0.3">
      <c r="A351" s="1">
        <v>45365</v>
      </c>
      <c r="B351" t="s">
        <v>12</v>
      </c>
      <c r="C351" t="s">
        <v>29</v>
      </c>
      <c r="D351" t="s">
        <v>30</v>
      </c>
      <c r="E351" t="s">
        <v>11</v>
      </c>
      <c r="F351">
        <v>6</v>
      </c>
      <c r="G351">
        <v>307.89999999999998</v>
      </c>
      <c r="H351">
        <v>1847.4</v>
      </c>
      <c r="I351" t="s">
        <v>50</v>
      </c>
    </row>
    <row r="352" spans="1:9" x14ac:dyDescent="0.3">
      <c r="A352" s="1">
        <v>45359</v>
      </c>
      <c r="B352" t="s">
        <v>20</v>
      </c>
      <c r="C352" t="s">
        <v>15</v>
      </c>
      <c r="D352" t="s">
        <v>16</v>
      </c>
      <c r="E352" t="s">
        <v>11</v>
      </c>
      <c r="F352">
        <v>2</v>
      </c>
      <c r="G352">
        <v>392.83</v>
      </c>
      <c r="H352">
        <v>785.66</v>
      </c>
      <c r="I352" t="s">
        <v>50</v>
      </c>
    </row>
    <row r="353" spans="1:9" x14ac:dyDescent="0.3">
      <c r="A353" s="1">
        <v>45357</v>
      </c>
      <c r="B353" t="s">
        <v>8</v>
      </c>
      <c r="C353" t="s">
        <v>24</v>
      </c>
      <c r="D353" t="s">
        <v>19</v>
      </c>
      <c r="E353" t="s">
        <v>23</v>
      </c>
      <c r="F353">
        <v>8</v>
      </c>
      <c r="G353">
        <v>237.59</v>
      </c>
      <c r="H353">
        <v>1900.72</v>
      </c>
      <c r="I353" t="s">
        <v>50</v>
      </c>
    </row>
    <row r="354" spans="1:9" x14ac:dyDescent="0.3">
      <c r="A354" s="1">
        <v>45372</v>
      </c>
      <c r="B354" t="s">
        <v>12</v>
      </c>
      <c r="C354" t="s">
        <v>24</v>
      </c>
      <c r="D354" t="s">
        <v>19</v>
      </c>
      <c r="E354" t="s">
        <v>11</v>
      </c>
      <c r="F354">
        <v>7</v>
      </c>
      <c r="G354">
        <v>269.86</v>
      </c>
      <c r="H354">
        <v>1889.02</v>
      </c>
      <c r="I354" t="s">
        <v>50</v>
      </c>
    </row>
    <row r="355" spans="1:9" x14ac:dyDescent="0.3">
      <c r="A355" s="1">
        <v>45379</v>
      </c>
      <c r="B355" t="s">
        <v>12</v>
      </c>
      <c r="C355" t="s">
        <v>18</v>
      </c>
      <c r="D355" t="s">
        <v>19</v>
      </c>
      <c r="E355" t="s">
        <v>28</v>
      </c>
      <c r="F355">
        <v>8</v>
      </c>
      <c r="G355">
        <v>972.08</v>
      </c>
      <c r="H355">
        <v>7776.64</v>
      </c>
      <c r="I355" t="s">
        <v>50</v>
      </c>
    </row>
    <row r="356" spans="1:9" x14ac:dyDescent="0.3">
      <c r="A356" s="1">
        <v>45362</v>
      </c>
      <c r="B356" t="s">
        <v>12</v>
      </c>
      <c r="C356" t="s">
        <v>24</v>
      </c>
      <c r="D356" t="s">
        <v>19</v>
      </c>
      <c r="E356" t="s">
        <v>28</v>
      </c>
      <c r="F356">
        <v>7</v>
      </c>
      <c r="G356">
        <v>241.95</v>
      </c>
      <c r="H356">
        <v>1693.65</v>
      </c>
      <c r="I356" t="s">
        <v>50</v>
      </c>
    </row>
    <row r="357" spans="1:9" x14ac:dyDescent="0.3">
      <c r="A357" s="1">
        <v>45357</v>
      </c>
      <c r="B357" t="s">
        <v>8</v>
      </c>
      <c r="C357" t="s">
        <v>9</v>
      </c>
      <c r="D357" t="s">
        <v>10</v>
      </c>
      <c r="E357" t="s">
        <v>31</v>
      </c>
      <c r="F357">
        <v>6</v>
      </c>
      <c r="G357">
        <v>27.56</v>
      </c>
      <c r="H357">
        <v>165.36</v>
      </c>
      <c r="I357" t="s">
        <v>50</v>
      </c>
    </row>
    <row r="358" spans="1:9" x14ac:dyDescent="0.3">
      <c r="A358" s="1">
        <v>45364</v>
      </c>
      <c r="B358" t="s">
        <v>14</v>
      </c>
      <c r="C358" t="s">
        <v>15</v>
      </c>
      <c r="D358" t="s">
        <v>16</v>
      </c>
      <c r="E358" t="s">
        <v>26</v>
      </c>
      <c r="F358">
        <v>3</v>
      </c>
      <c r="G358">
        <v>400.21</v>
      </c>
      <c r="H358">
        <v>1200.6300000000001</v>
      </c>
      <c r="I358" t="s">
        <v>50</v>
      </c>
    </row>
    <row r="359" spans="1:9" x14ac:dyDescent="0.3">
      <c r="A359" s="1">
        <v>45352</v>
      </c>
      <c r="B359" t="s">
        <v>8</v>
      </c>
      <c r="C359" t="s">
        <v>21</v>
      </c>
      <c r="D359" t="s">
        <v>10</v>
      </c>
      <c r="E359" t="s">
        <v>26</v>
      </c>
      <c r="F359">
        <v>5</v>
      </c>
      <c r="G359">
        <v>42.26</v>
      </c>
      <c r="H359">
        <v>211.3</v>
      </c>
      <c r="I359" t="s">
        <v>50</v>
      </c>
    </row>
    <row r="360" spans="1:9" x14ac:dyDescent="0.3">
      <c r="A360" s="1">
        <v>45361</v>
      </c>
      <c r="B360" t="s">
        <v>8</v>
      </c>
      <c r="C360" t="s">
        <v>25</v>
      </c>
      <c r="D360" t="s">
        <v>16</v>
      </c>
      <c r="E360" t="s">
        <v>27</v>
      </c>
      <c r="F360">
        <v>1</v>
      </c>
      <c r="G360">
        <v>172.11</v>
      </c>
      <c r="H360">
        <v>172.11</v>
      </c>
      <c r="I360" t="s">
        <v>50</v>
      </c>
    </row>
    <row r="361" spans="1:9" x14ac:dyDescent="0.3">
      <c r="A361" s="1">
        <v>45364</v>
      </c>
      <c r="B361" t="s">
        <v>20</v>
      </c>
      <c r="C361" t="s">
        <v>25</v>
      </c>
      <c r="D361" t="s">
        <v>16</v>
      </c>
      <c r="E361" t="s">
        <v>26</v>
      </c>
      <c r="F361">
        <v>2</v>
      </c>
      <c r="G361">
        <v>168.38</v>
      </c>
      <c r="H361">
        <v>336.76</v>
      </c>
      <c r="I361" t="s">
        <v>50</v>
      </c>
    </row>
    <row r="362" spans="1:9" x14ac:dyDescent="0.3">
      <c r="A362" s="1">
        <v>45354</v>
      </c>
      <c r="B362" t="s">
        <v>8</v>
      </c>
      <c r="C362" t="s">
        <v>18</v>
      </c>
      <c r="D362" t="s">
        <v>19</v>
      </c>
      <c r="E362" t="s">
        <v>23</v>
      </c>
      <c r="F362">
        <v>6</v>
      </c>
      <c r="G362">
        <v>874.71</v>
      </c>
      <c r="H362">
        <v>5248.26</v>
      </c>
      <c r="I362" t="s">
        <v>50</v>
      </c>
    </row>
    <row r="363" spans="1:9" x14ac:dyDescent="0.3">
      <c r="A363" s="1">
        <v>45369</v>
      </c>
      <c r="B363" t="s">
        <v>14</v>
      </c>
      <c r="C363" t="s">
        <v>9</v>
      </c>
      <c r="D363" t="s">
        <v>10</v>
      </c>
      <c r="E363" t="s">
        <v>26</v>
      </c>
      <c r="F363">
        <v>2</v>
      </c>
      <c r="G363">
        <v>27.56</v>
      </c>
      <c r="H363">
        <v>55.12</v>
      </c>
      <c r="I363" t="s">
        <v>50</v>
      </c>
    </row>
    <row r="364" spans="1:9" x14ac:dyDescent="0.3">
      <c r="A364" s="1">
        <v>45352</v>
      </c>
      <c r="B364" t="s">
        <v>12</v>
      </c>
      <c r="C364" t="s">
        <v>29</v>
      </c>
      <c r="D364" t="s">
        <v>30</v>
      </c>
      <c r="E364" t="s">
        <v>27</v>
      </c>
      <c r="F364">
        <v>8</v>
      </c>
      <c r="G364">
        <v>293.45999999999998</v>
      </c>
      <c r="H364">
        <v>2347.6799999999998</v>
      </c>
      <c r="I364" t="s">
        <v>50</v>
      </c>
    </row>
    <row r="365" spans="1:9" x14ac:dyDescent="0.3">
      <c r="A365" s="1">
        <v>45354</v>
      </c>
      <c r="B365" t="s">
        <v>14</v>
      </c>
      <c r="C365" t="s">
        <v>25</v>
      </c>
      <c r="D365" t="s">
        <v>16</v>
      </c>
      <c r="E365" t="s">
        <v>11</v>
      </c>
      <c r="F365">
        <v>3</v>
      </c>
      <c r="G365">
        <v>171.01</v>
      </c>
      <c r="H365">
        <v>513.03</v>
      </c>
      <c r="I365" t="s">
        <v>50</v>
      </c>
    </row>
    <row r="366" spans="1:9" x14ac:dyDescent="0.3">
      <c r="A366" s="1">
        <v>45374</v>
      </c>
      <c r="B366" t="s">
        <v>8</v>
      </c>
      <c r="C366" t="s">
        <v>15</v>
      </c>
      <c r="D366" t="s">
        <v>16</v>
      </c>
      <c r="E366" t="s">
        <v>31</v>
      </c>
      <c r="F366">
        <v>3</v>
      </c>
      <c r="G366">
        <v>388.48</v>
      </c>
      <c r="H366">
        <v>1165.44</v>
      </c>
      <c r="I366" t="s">
        <v>50</v>
      </c>
    </row>
    <row r="367" spans="1:9" x14ac:dyDescent="0.3">
      <c r="A367" s="1">
        <v>45362</v>
      </c>
      <c r="B367" t="s">
        <v>8</v>
      </c>
      <c r="C367" t="s">
        <v>9</v>
      </c>
      <c r="D367" t="s">
        <v>10</v>
      </c>
      <c r="E367" t="s">
        <v>11</v>
      </c>
      <c r="F367">
        <v>6</v>
      </c>
      <c r="G367">
        <v>27.09</v>
      </c>
      <c r="H367">
        <v>162.54</v>
      </c>
      <c r="I367" t="s">
        <v>50</v>
      </c>
    </row>
    <row r="368" spans="1:9" x14ac:dyDescent="0.3">
      <c r="A368" s="1">
        <v>45361</v>
      </c>
      <c r="B368" t="s">
        <v>8</v>
      </c>
      <c r="C368" t="s">
        <v>25</v>
      </c>
      <c r="D368" t="s">
        <v>16</v>
      </c>
      <c r="E368" t="s">
        <v>31</v>
      </c>
      <c r="F368">
        <v>5</v>
      </c>
      <c r="G368">
        <v>163.66</v>
      </c>
      <c r="H368">
        <v>818.3</v>
      </c>
      <c r="I368" t="s">
        <v>50</v>
      </c>
    </row>
    <row r="369" spans="1:9" x14ac:dyDescent="0.3">
      <c r="A369" s="1">
        <v>45375</v>
      </c>
      <c r="B369" t="s">
        <v>12</v>
      </c>
      <c r="C369" t="s">
        <v>25</v>
      </c>
      <c r="D369" t="s">
        <v>16</v>
      </c>
      <c r="E369" t="s">
        <v>26</v>
      </c>
      <c r="F369">
        <v>8</v>
      </c>
      <c r="G369">
        <v>184.17</v>
      </c>
      <c r="H369">
        <v>1473.36</v>
      </c>
      <c r="I369" t="s">
        <v>50</v>
      </c>
    </row>
    <row r="370" spans="1:9" x14ac:dyDescent="0.3">
      <c r="A370" s="1">
        <v>45366</v>
      </c>
      <c r="B370" t="s">
        <v>14</v>
      </c>
      <c r="C370" t="s">
        <v>25</v>
      </c>
      <c r="D370" t="s">
        <v>16</v>
      </c>
      <c r="E370" t="s">
        <v>26</v>
      </c>
      <c r="F370">
        <v>4</v>
      </c>
      <c r="G370">
        <v>175.9</v>
      </c>
      <c r="H370">
        <v>703.6</v>
      </c>
      <c r="I370" t="s">
        <v>50</v>
      </c>
    </row>
    <row r="371" spans="1:9" x14ac:dyDescent="0.3">
      <c r="A371" s="1">
        <v>45367</v>
      </c>
      <c r="B371" t="s">
        <v>12</v>
      </c>
      <c r="C371" t="s">
        <v>9</v>
      </c>
      <c r="D371" t="s">
        <v>10</v>
      </c>
      <c r="E371" t="s">
        <v>17</v>
      </c>
      <c r="F371">
        <v>8</v>
      </c>
      <c r="G371">
        <v>27.11</v>
      </c>
      <c r="H371">
        <v>216.88</v>
      </c>
      <c r="I371" t="s">
        <v>50</v>
      </c>
    </row>
    <row r="372" spans="1:9" x14ac:dyDescent="0.3">
      <c r="A372" s="1">
        <v>45362</v>
      </c>
      <c r="B372" t="s">
        <v>8</v>
      </c>
      <c r="C372" t="s">
        <v>21</v>
      </c>
      <c r="D372" t="s">
        <v>10</v>
      </c>
      <c r="E372" t="s">
        <v>28</v>
      </c>
      <c r="F372">
        <v>3</v>
      </c>
      <c r="G372">
        <v>47.83</v>
      </c>
      <c r="H372">
        <v>143.49</v>
      </c>
      <c r="I372" t="s">
        <v>50</v>
      </c>
    </row>
    <row r="373" spans="1:9" x14ac:dyDescent="0.3">
      <c r="A373" s="1">
        <v>45369</v>
      </c>
      <c r="B373" t="s">
        <v>14</v>
      </c>
      <c r="C373" t="s">
        <v>29</v>
      </c>
      <c r="D373" t="s">
        <v>30</v>
      </c>
      <c r="E373" t="s">
        <v>28</v>
      </c>
      <c r="F373">
        <v>1</v>
      </c>
      <c r="G373">
        <v>294.47000000000003</v>
      </c>
      <c r="H373">
        <v>294.47000000000003</v>
      </c>
      <c r="I373" t="s">
        <v>50</v>
      </c>
    </row>
    <row r="374" spans="1:9" x14ac:dyDescent="0.3">
      <c r="A374" s="1">
        <v>45363</v>
      </c>
      <c r="B374" t="s">
        <v>14</v>
      </c>
      <c r="C374" t="s">
        <v>25</v>
      </c>
      <c r="D374" t="s">
        <v>16</v>
      </c>
      <c r="E374" t="s">
        <v>17</v>
      </c>
      <c r="F374">
        <v>6</v>
      </c>
      <c r="G374">
        <v>194.05</v>
      </c>
      <c r="H374">
        <v>1164.3</v>
      </c>
      <c r="I374" t="s">
        <v>50</v>
      </c>
    </row>
    <row r="375" spans="1:9" x14ac:dyDescent="0.3">
      <c r="A375" s="1">
        <v>45363</v>
      </c>
      <c r="B375" t="s">
        <v>12</v>
      </c>
      <c r="C375" t="s">
        <v>25</v>
      </c>
      <c r="D375" t="s">
        <v>16</v>
      </c>
      <c r="E375" t="s">
        <v>28</v>
      </c>
      <c r="F375">
        <v>5</v>
      </c>
      <c r="G375">
        <v>193.13</v>
      </c>
      <c r="H375">
        <v>965.65</v>
      </c>
      <c r="I375" t="s">
        <v>50</v>
      </c>
    </row>
    <row r="376" spans="1:9" x14ac:dyDescent="0.3">
      <c r="A376" s="1">
        <v>45378</v>
      </c>
      <c r="B376" t="s">
        <v>20</v>
      </c>
      <c r="C376" t="s">
        <v>25</v>
      </c>
      <c r="D376" t="s">
        <v>16</v>
      </c>
      <c r="E376" t="s">
        <v>23</v>
      </c>
      <c r="F376">
        <v>4</v>
      </c>
      <c r="G376">
        <v>167.29</v>
      </c>
      <c r="H376">
        <v>669.16</v>
      </c>
      <c r="I376" t="s">
        <v>50</v>
      </c>
    </row>
    <row r="377" spans="1:9" x14ac:dyDescent="0.3">
      <c r="A377" s="1">
        <v>45366</v>
      </c>
      <c r="B377" t="s">
        <v>14</v>
      </c>
      <c r="C377" t="s">
        <v>9</v>
      </c>
      <c r="D377" t="s">
        <v>10</v>
      </c>
      <c r="E377" t="s">
        <v>13</v>
      </c>
      <c r="F377">
        <v>6</v>
      </c>
      <c r="G377">
        <v>29.84</v>
      </c>
      <c r="H377">
        <v>179.04</v>
      </c>
      <c r="I377" t="s">
        <v>50</v>
      </c>
    </row>
    <row r="378" spans="1:9" x14ac:dyDescent="0.3">
      <c r="A378" s="1">
        <v>45724</v>
      </c>
      <c r="B378" t="s">
        <v>8</v>
      </c>
      <c r="C378" t="s">
        <v>25</v>
      </c>
      <c r="D378" t="s">
        <v>16</v>
      </c>
      <c r="E378" t="s">
        <v>27</v>
      </c>
      <c r="F378">
        <v>8</v>
      </c>
      <c r="G378">
        <v>191.97</v>
      </c>
      <c r="H378">
        <v>1535.76</v>
      </c>
      <c r="I378" t="s">
        <v>51</v>
      </c>
    </row>
    <row r="379" spans="1:9" x14ac:dyDescent="0.3">
      <c r="A379" s="1">
        <v>45721</v>
      </c>
      <c r="B379" t="s">
        <v>14</v>
      </c>
      <c r="C379" t="s">
        <v>18</v>
      </c>
      <c r="D379" t="s">
        <v>19</v>
      </c>
      <c r="E379" t="s">
        <v>27</v>
      </c>
      <c r="F379">
        <v>4</v>
      </c>
      <c r="G379">
        <v>845.94</v>
      </c>
      <c r="H379">
        <v>3383.76</v>
      </c>
      <c r="I379" t="s">
        <v>51</v>
      </c>
    </row>
    <row r="380" spans="1:9" x14ac:dyDescent="0.3">
      <c r="A380" s="1">
        <v>45724</v>
      </c>
      <c r="B380" t="s">
        <v>12</v>
      </c>
      <c r="C380" t="s">
        <v>24</v>
      </c>
      <c r="D380" t="s">
        <v>19</v>
      </c>
      <c r="E380" t="s">
        <v>11</v>
      </c>
      <c r="F380">
        <v>6</v>
      </c>
      <c r="G380">
        <v>273.27999999999997</v>
      </c>
      <c r="H380">
        <v>1639.68</v>
      </c>
      <c r="I380" t="s">
        <v>51</v>
      </c>
    </row>
    <row r="381" spans="1:9" x14ac:dyDescent="0.3">
      <c r="A381" s="1">
        <v>45730</v>
      </c>
      <c r="B381" t="s">
        <v>20</v>
      </c>
      <c r="C381" t="s">
        <v>9</v>
      </c>
      <c r="D381" t="s">
        <v>10</v>
      </c>
      <c r="E381" t="s">
        <v>26</v>
      </c>
      <c r="F381">
        <v>4</v>
      </c>
      <c r="G381">
        <v>28.37</v>
      </c>
      <c r="H381">
        <v>113.48</v>
      </c>
      <c r="I381" t="s">
        <v>51</v>
      </c>
    </row>
    <row r="382" spans="1:9" x14ac:dyDescent="0.3">
      <c r="A382" s="1">
        <v>45724</v>
      </c>
      <c r="B382" t="s">
        <v>8</v>
      </c>
      <c r="C382" t="s">
        <v>9</v>
      </c>
      <c r="D382" t="s">
        <v>10</v>
      </c>
      <c r="E382" t="s">
        <v>17</v>
      </c>
      <c r="F382">
        <v>3</v>
      </c>
      <c r="G382">
        <v>32.83</v>
      </c>
      <c r="H382">
        <v>98.49</v>
      </c>
      <c r="I382" t="s">
        <v>51</v>
      </c>
    </row>
    <row r="383" spans="1:9" x14ac:dyDescent="0.3">
      <c r="A383" s="1">
        <v>45737</v>
      </c>
      <c r="B383" t="s">
        <v>20</v>
      </c>
      <c r="C383" t="s">
        <v>24</v>
      </c>
      <c r="D383" t="s">
        <v>19</v>
      </c>
      <c r="E383" t="s">
        <v>26</v>
      </c>
      <c r="F383">
        <v>2</v>
      </c>
      <c r="G383">
        <v>261.41000000000003</v>
      </c>
      <c r="H383">
        <v>522.82000000000005</v>
      </c>
      <c r="I383" t="s">
        <v>51</v>
      </c>
    </row>
    <row r="384" spans="1:9" x14ac:dyDescent="0.3">
      <c r="A384" s="1">
        <v>45725</v>
      </c>
      <c r="B384" t="s">
        <v>20</v>
      </c>
      <c r="C384" t="s">
        <v>22</v>
      </c>
      <c r="D384" t="s">
        <v>10</v>
      </c>
      <c r="E384" t="s">
        <v>27</v>
      </c>
      <c r="F384">
        <v>5</v>
      </c>
      <c r="G384">
        <v>63.13</v>
      </c>
      <c r="H384">
        <v>315.64999999999998</v>
      </c>
      <c r="I384" t="s">
        <v>51</v>
      </c>
    </row>
    <row r="385" spans="1:9" x14ac:dyDescent="0.3">
      <c r="A385" s="1">
        <v>45740</v>
      </c>
      <c r="B385" t="s">
        <v>20</v>
      </c>
      <c r="C385" t="s">
        <v>24</v>
      </c>
      <c r="D385" t="s">
        <v>19</v>
      </c>
      <c r="E385" t="s">
        <v>23</v>
      </c>
      <c r="F385">
        <v>7</v>
      </c>
      <c r="G385">
        <v>241.27</v>
      </c>
      <c r="H385">
        <v>1688.89</v>
      </c>
      <c r="I385" t="s">
        <v>51</v>
      </c>
    </row>
    <row r="386" spans="1:9" x14ac:dyDescent="0.3">
      <c r="A386" s="1">
        <v>45733</v>
      </c>
      <c r="B386" t="s">
        <v>20</v>
      </c>
      <c r="C386" t="s">
        <v>15</v>
      </c>
      <c r="D386" t="s">
        <v>16</v>
      </c>
      <c r="E386" t="s">
        <v>27</v>
      </c>
      <c r="F386">
        <v>8</v>
      </c>
      <c r="G386">
        <v>405.6</v>
      </c>
      <c r="H386">
        <v>3244.8</v>
      </c>
      <c r="I386" t="s">
        <v>51</v>
      </c>
    </row>
    <row r="387" spans="1:9" x14ac:dyDescent="0.3">
      <c r="A387" s="1">
        <v>45725</v>
      </c>
      <c r="B387" t="s">
        <v>12</v>
      </c>
      <c r="C387" t="s">
        <v>25</v>
      </c>
      <c r="D387" t="s">
        <v>16</v>
      </c>
      <c r="E387" t="s">
        <v>28</v>
      </c>
      <c r="F387">
        <v>5</v>
      </c>
      <c r="G387">
        <v>184.14</v>
      </c>
      <c r="H387">
        <v>920.7</v>
      </c>
      <c r="I387" t="s">
        <v>51</v>
      </c>
    </row>
    <row r="388" spans="1:9" x14ac:dyDescent="0.3">
      <c r="A388" s="1">
        <v>45724</v>
      </c>
      <c r="B388" t="s">
        <v>20</v>
      </c>
      <c r="C388" t="s">
        <v>22</v>
      </c>
      <c r="D388" t="s">
        <v>10</v>
      </c>
      <c r="E388" t="s">
        <v>17</v>
      </c>
      <c r="F388">
        <v>4</v>
      </c>
      <c r="G388">
        <v>72.83</v>
      </c>
      <c r="H388">
        <v>291.32</v>
      </c>
      <c r="I388" t="s">
        <v>51</v>
      </c>
    </row>
    <row r="389" spans="1:9" x14ac:dyDescent="0.3">
      <c r="A389" s="1">
        <v>45745</v>
      </c>
      <c r="B389" t="s">
        <v>12</v>
      </c>
      <c r="C389" t="s">
        <v>9</v>
      </c>
      <c r="D389" t="s">
        <v>10</v>
      </c>
      <c r="E389" t="s">
        <v>28</v>
      </c>
      <c r="F389">
        <v>8</v>
      </c>
      <c r="G389">
        <v>30.47</v>
      </c>
      <c r="H389">
        <v>243.76</v>
      </c>
      <c r="I389" t="s">
        <v>51</v>
      </c>
    </row>
    <row r="390" spans="1:9" x14ac:dyDescent="0.3">
      <c r="A390" s="1">
        <v>45725</v>
      </c>
      <c r="B390" t="s">
        <v>20</v>
      </c>
      <c r="C390" t="s">
        <v>9</v>
      </c>
      <c r="D390" t="s">
        <v>10</v>
      </c>
      <c r="E390" t="s">
        <v>28</v>
      </c>
      <c r="F390">
        <v>3</v>
      </c>
      <c r="G390">
        <v>28.94</v>
      </c>
      <c r="H390">
        <v>86.82</v>
      </c>
      <c r="I390" t="s">
        <v>51</v>
      </c>
    </row>
    <row r="391" spans="1:9" x14ac:dyDescent="0.3">
      <c r="A391" s="1">
        <v>45721</v>
      </c>
      <c r="B391" t="s">
        <v>8</v>
      </c>
      <c r="C391" t="s">
        <v>18</v>
      </c>
      <c r="D391" t="s">
        <v>19</v>
      </c>
      <c r="E391" t="s">
        <v>17</v>
      </c>
      <c r="F391">
        <v>3</v>
      </c>
      <c r="G391">
        <v>924.32</v>
      </c>
      <c r="H391">
        <v>2772.96</v>
      </c>
      <c r="I391" t="s">
        <v>51</v>
      </c>
    </row>
    <row r="392" spans="1:9" x14ac:dyDescent="0.3">
      <c r="A392" s="1">
        <v>45740</v>
      </c>
      <c r="B392" t="s">
        <v>14</v>
      </c>
      <c r="C392" t="s">
        <v>15</v>
      </c>
      <c r="D392" t="s">
        <v>16</v>
      </c>
      <c r="E392" t="s">
        <v>31</v>
      </c>
      <c r="F392">
        <v>7</v>
      </c>
      <c r="G392">
        <v>430.2</v>
      </c>
      <c r="H392">
        <v>3011.4</v>
      </c>
      <c r="I392" t="s">
        <v>51</v>
      </c>
    </row>
    <row r="393" spans="1:9" x14ac:dyDescent="0.3">
      <c r="A393" s="1">
        <v>45725</v>
      </c>
      <c r="B393" t="s">
        <v>12</v>
      </c>
      <c r="C393" t="s">
        <v>18</v>
      </c>
      <c r="D393" t="s">
        <v>19</v>
      </c>
      <c r="E393" t="s">
        <v>27</v>
      </c>
      <c r="F393">
        <v>2</v>
      </c>
      <c r="G393">
        <v>869.16</v>
      </c>
      <c r="H393">
        <v>1738.32</v>
      </c>
      <c r="I393" t="s">
        <v>51</v>
      </c>
    </row>
    <row r="394" spans="1:9" x14ac:dyDescent="0.3">
      <c r="A394" s="1">
        <v>45744</v>
      </c>
      <c r="B394" t="s">
        <v>8</v>
      </c>
      <c r="C394" t="s">
        <v>25</v>
      </c>
      <c r="D394" t="s">
        <v>16</v>
      </c>
      <c r="E394" t="s">
        <v>31</v>
      </c>
      <c r="F394">
        <v>7</v>
      </c>
      <c r="G394">
        <v>177.9</v>
      </c>
      <c r="H394">
        <v>1245.3</v>
      </c>
      <c r="I394" t="s">
        <v>51</v>
      </c>
    </row>
    <row r="395" spans="1:9" x14ac:dyDescent="0.3">
      <c r="A395" s="1">
        <v>45729</v>
      </c>
      <c r="B395" t="s">
        <v>12</v>
      </c>
      <c r="C395" t="s">
        <v>22</v>
      </c>
      <c r="D395" t="s">
        <v>10</v>
      </c>
      <c r="E395" t="s">
        <v>26</v>
      </c>
      <c r="F395">
        <v>1</v>
      </c>
      <c r="G395">
        <v>64.64</v>
      </c>
      <c r="H395">
        <v>64.64</v>
      </c>
      <c r="I395" t="s">
        <v>51</v>
      </c>
    </row>
    <row r="396" spans="1:9" x14ac:dyDescent="0.3">
      <c r="A396" s="1">
        <v>45732</v>
      </c>
      <c r="B396" t="s">
        <v>14</v>
      </c>
      <c r="C396" t="s">
        <v>24</v>
      </c>
      <c r="D396" t="s">
        <v>19</v>
      </c>
      <c r="E396" t="s">
        <v>13</v>
      </c>
      <c r="F396">
        <v>5</v>
      </c>
      <c r="G396">
        <v>243.71</v>
      </c>
      <c r="H396">
        <v>1218.55</v>
      </c>
      <c r="I396" t="s">
        <v>51</v>
      </c>
    </row>
    <row r="397" spans="1:9" x14ac:dyDescent="0.3">
      <c r="A397" s="1">
        <v>45736</v>
      </c>
      <c r="B397" t="s">
        <v>12</v>
      </c>
      <c r="C397" t="s">
        <v>9</v>
      </c>
      <c r="D397" t="s">
        <v>10</v>
      </c>
      <c r="E397" t="s">
        <v>31</v>
      </c>
      <c r="F397">
        <v>7</v>
      </c>
      <c r="G397">
        <v>31.94</v>
      </c>
      <c r="H397">
        <v>223.58</v>
      </c>
      <c r="I397" t="s">
        <v>51</v>
      </c>
    </row>
    <row r="398" spans="1:9" x14ac:dyDescent="0.3">
      <c r="A398" s="1">
        <v>45738</v>
      </c>
      <c r="B398" t="s">
        <v>20</v>
      </c>
      <c r="C398" t="s">
        <v>9</v>
      </c>
      <c r="D398" t="s">
        <v>10</v>
      </c>
      <c r="E398" t="s">
        <v>11</v>
      </c>
      <c r="F398">
        <v>4</v>
      </c>
      <c r="G398">
        <v>30.68</v>
      </c>
      <c r="H398">
        <v>122.72</v>
      </c>
      <c r="I398" t="s">
        <v>51</v>
      </c>
    </row>
    <row r="399" spans="1:9" x14ac:dyDescent="0.3">
      <c r="A399" s="1">
        <v>45738</v>
      </c>
      <c r="B399" t="s">
        <v>12</v>
      </c>
      <c r="C399" t="s">
        <v>22</v>
      </c>
      <c r="D399" t="s">
        <v>10</v>
      </c>
      <c r="E399" t="s">
        <v>13</v>
      </c>
      <c r="F399">
        <v>6</v>
      </c>
      <c r="G399">
        <v>71.319999999999993</v>
      </c>
      <c r="H399">
        <v>427.92</v>
      </c>
      <c r="I399" t="s">
        <v>51</v>
      </c>
    </row>
    <row r="400" spans="1:9" x14ac:dyDescent="0.3">
      <c r="A400" s="1">
        <v>45733</v>
      </c>
      <c r="B400" t="s">
        <v>20</v>
      </c>
      <c r="C400" t="s">
        <v>29</v>
      </c>
      <c r="D400" t="s">
        <v>30</v>
      </c>
      <c r="E400" t="s">
        <v>13</v>
      </c>
      <c r="F400">
        <v>3</v>
      </c>
      <c r="G400">
        <v>291.61</v>
      </c>
      <c r="H400">
        <v>874.83</v>
      </c>
      <c r="I400" t="s">
        <v>51</v>
      </c>
    </row>
    <row r="401" spans="1:9" x14ac:dyDescent="0.3">
      <c r="A401" s="1">
        <v>45722</v>
      </c>
      <c r="B401" t="s">
        <v>20</v>
      </c>
      <c r="C401" t="s">
        <v>24</v>
      </c>
      <c r="D401" t="s">
        <v>19</v>
      </c>
      <c r="E401" t="s">
        <v>28</v>
      </c>
      <c r="F401">
        <v>1</v>
      </c>
      <c r="G401">
        <v>251.02</v>
      </c>
      <c r="H401">
        <v>251.02</v>
      </c>
      <c r="I401" t="s">
        <v>51</v>
      </c>
    </row>
    <row r="402" spans="1:9" x14ac:dyDescent="0.3">
      <c r="A402" s="1">
        <v>45732</v>
      </c>
      <c r="B402" t="s">
        <v>12</v>
      </c>
      <c r="C402" t="s">
        <v>21</v>
      </c>
      <c r="D402" t="s">
        <v>10</v>
      </c>
      <c r="E402" t="s">
        <v>27</v>
      </c>
      <c r="F402">
        <v>5</v>
      </c>
      <c r="G402">
        <v>41.73</v>
      </c>
      <c r="H402">
        <v>208.65</v>
      </c>
      <c r="I402" t="s">
        <v>51</v>
      </c>
    </row>
    <row r="403" spans="1:9" x14ac:dyDescent="0.3">
      <c r="A403" s="1">
        <v>45744</v>
      </c>
      <c r="B403" t="s">
        <v>12</v>
      </c>
      <c r="C403" t="s">
        <v>18</v>
      </c>
      <c r="D403" t="s">
        <v>19</v>
      </c>
      <c r="E403" t="s">
        <v>17</v>
      </c>
      <c r="F403">
        <v>4</v>
      </c>
      <c r="G403">
        <v>972.75</v>
      </c>
      <c r="H403">
        <v>3891</v>
      </c>
      <c r="I403" t="s">
        <v>51</v>
      </c>
    </row>
    <row r="404" spans="1:9" x14ac:dyDescent="0.3">
      <c r="A404" s="1">
        <v>45744</v>
      </c>
      <c r="B404" t="s">
        <v>14</v>
      </c>
      <c r="C404" t="s">
        <v>25</v>
      </c>
      <c r="D404" t="s">
        <v>16</v>
      </c>
      <c r="E404" t="s">
        <v>26</v>
      </c>
      <c r="F404">
        <v>7</v>
      </c>
      <c r="G404">
        <v>174.54</v>
      </c>
      <c r="H404">
        <v>1221.78</v>
      </c>
      <c r="I404" t="s">
        <v>51</v>
      </c>
    </row>
    <row r="405" spans="1:9" x14ac:dyDescent="0.3">
      <c r="A405" s="1">
        <v>45434</v>
      </c>
      <c r="B405" t="s">
        <v>14</v>
      </c>
      <c r="C405" t="s">
        <v>22</v>
      </c>
      <c r="D405" t="s">
        <v>10</v>
      </c>
      <c r="E405" t="s">
        <v>23</v>
      </c>
      <c r="F405">
        <v>5</v>
      </c>
      <c r="G405">
        <v>63.81</v>
      </c>
      <c r="H405">
        <v>319.05</v>
      </c>
      <c r="I405" t="s">
        <v>52</v>
      </c>
    </row>
    <row r="406" spans="1:9" x14ac:dyDescent="0.3">
      <c r="A406" s="1">
        <v>45419</v>
      </c>
      <c r="B406" t="s">
        <v>14</v>
      </c>
      <c r="C406" t="s">
        <v>24</v>
      </c>
      <c r="D406" t="s">
        <v>19</v>
      </c>
      <c r="E406" t="s">
        <v>31</v>
      </c>
      <c r="F406">
        <v>3</v>
      </c>
      <c r="G406">
        <v>263.76</v>
      </c>
      <c r="H406">
        <v>791.28</v>
      </c>
      <c r="I406" t="s">
        <v>52</v>
      </c>
    </row>
    <row r="407" spans="1:9" x14ac:dyDescent="0.3">
      <c r="A407" s="1">
        <v>45438</v>
      </c>
      <c r="B407" t="s">
        <v>12</v>
      </c>
      <c r="C407" t="s">
        <v>22</v>
      </c>
      <c r="D407" t="s">
        <v>10</v>
      </c>
      <c r="E407" t="s">
        <v>17</v>
      </c>
      <c r="F407">
        <v>5</v>
      </c>
      <c r="G407">
        <v>74.25</v>
      </c>
      <c r="H407">
        <v>371.25</v>
      </c>
      <c r="I407" t="s">
        <v>52</v>
      </c>
    </row>
    <row r="408" spans="1:9" x14ac:dyDescent="0.3">
      <c r="A408" s="1">
        <v>45434</v>
      </c>
      <c r="B408" t="s">
        <v>8</v>
      </c>
      <c r="C408" t="s">
        <v>25</v>
      </c>
      <c r="D408" t="s">
        <v>16</v>
      </c>
      <c r="E408" t="s">
        <v>23</v>
      </c>
      <c r="F408">
        <v>5</v>
      </c>
      <c r="G408">
        <v>194.13</v>
      </c>
      <c r="H408">
        <v>970.65</v>
      </c>
      <c r="I408" t="s">
        <v>52</v>
      </c>
    </row>
    <row r="409" spans="1:9" x14ac:dyDescent="0.3">
      <c r="A409" s="1">
        <v>45433</v>
      </c>
      <c r="B409" t="s">
        <v>8</v>
      </c>
      <c r="C409" t="s">
        <v>21</v>
      </c>
      <c r="D409" t="s">
        <v>10</v>
      </c>
      <c r="E409" t="s">
        <v>23</v>
      </c>
      <c r="F409">
        <v>5</v>
      </c>
      <c r="G409">
        <v>45.1</v>
      </c>
      <c r="H409">
        <v>225.5</v>
      </c>
      <c r="I409" t="s">
        <v>52</v>
      </c>
    </row>
    <row r="410" spans="1:9" x14ac:dyDescent="0.3">
      <c r="A410" s="1">
        <v>45420</v>
      </c>
      <c r="B410" t="s">
        <v>14</v>
      </c>
      <c r="C410" t="s">
        <v>15</v>
      </c>
      <c r="D410" t="s">
        <v>16</v>
      </c>
      <c r="E410" t="s">
        <v>11</v>
      </c>
      <c r="F410">
        <v>2</v>
      </c>
      <c r="G410">
        <v>418.08</v>
      </c>
      <c r="H410">
        <v>836.16</v>
      </c>
      <c r="I410" t="s">
        <v>52</v>
      </c>
    </row>
    <row r="411" spans="1:9" x14ac:dyDescent="0.3">
      <c r="A411" s="1">
        <v>45423</v>
      </c>
      <c r="B411" t="s">
        <v>8</v>
      </c>
      <c r="C411" t="s">
        <v>15</v>
      </c>
      <c r="D411" t="s">
        <v>16</v>
      </c>
      <c r="E411" t="s">
        <v>23</v>
      </c>
      <c r="F411">
        <v>2</v>
      </c>
      <c r="G411">
        <v>431.77</v>
      </c>
      <c r="H411">
        <v>863.54</v>
      </c>
      <c r="I411" t="s">
        <v>52</v>
      </c>
    </row>
    <row r="412" spans="1:9" x14ac:dyDescent="0.3">
      <c r="A412" s="1">
        <v>45415</v>
      </c>
      <c r="B412" t="s">
        <v>8</v>
      </c>
      <c r="C412" t="s">
        <v>24</v>
      </c>
      <c r="D412" t="s">
        <v>19</v>
      </c>
      <c r="E412" t="s">
        <v>28</v>
      </c>
      <c r="F412">
        <v>5</v>
      </c>
      <c r="G412">
        <v>267.45999999999998</v>
      </c>
      <c r="H412">
        <v>1337.3</v>
      </c>
      <c r="I412" t="s">
        <v>52</v>
      </c>
    </row>
    <row r="413" spans="1:9" x14ac:dyDescent="0.3">
      <c r="A413" s="1">
        <v>45427</v>
      </c>
      <c r="B413" t="s">
        <v>8</v>
      </c>
      <c r="C413" t="s">
        <v>21</v>
      </c>
      <c r="D413" t="s">
        <v>10</v>
      </c>
      <c r="E413" t="s">
        <v>27</v>
      </c>
      <c r="F413">
        <v>5</v>
      </c>
      <c r="G413">
        <v>49.2</v>
      </c>
      <c r="H413">
        <v>246</v>
      </c>
      <c r="I413" t="s">
        <v>52</v>
      </c>
    </row>
    <row r="414" spans="1:9" x14ac:dyDescent="0.3">
      <c r="A414" s="1">
        <v>45435</v>
      </c>
      <c r="B414" t="s">
        <v>20</v>
      </c>
      <c r="C414" t="s">
        <v>15</v>
      </c>
      <c r="D414" t="s">
        <v>16</v>
      </c>
      <c r="E414" t="s">
        <v>23</v>
      </c>
      <c r="F414">
        <v>2</v>
      </c>
      <c r="G414">
        <v>412</v>
      </c>
      <c r="H414">
        <v>824</v>
      </c>
      <c r="I414" t="s">
        <v>52</v>
      </c>
    </row>
    <row r="415" spans="1:9" x14ac:dyDescent="0.3">
      <c r="A415" s="1">
        <v>45414</v>
      </c>
      <c r="B415" t="s">
        <v>8</v>
      </c>
      <c r="C415" t="s">
        <v>29</v>
      </c>
      <c r="D415" t="s">
        <v>30</v>
      </c>
      <c r="E415" t="s">
        <v>11</v>
      </c>
      <c r="F415">
        <v>2</v>
      </c>
      <c r="G415">
        <v>318.35000000000002</v>
      </c>
      <c r="H415">
        <v>636.70000000000005</v>
      </c>
      <c r="I415" t="s">
        <v>52</v>
      </c>
    </row>
    <row r="416" spans="1:9" x14ac:dyDescent="0.3">
      <c r="A416" s="1">
        <v>45426</v>
      </c>
      <c r="B416" t="s">
        <v>14</v>
      </c>
      <c r="C416" t="s">
        <v>22</v>
      </c>
      <c r="D416" t="s">
        <v>10</v>
      </c>
      <c r="E416" t="s">
        <v>27</v>
      </c>
      <c r="F416">
        <v>6</v>
      </c>
      <c r="G416">
        <v>71.06</v>
      </c>
      <c r="H416">
        <v>426.36</v>
      </c>
      <c r="I416" t="s">
        <v>52</v>
      </c>
    </row>
    <row r="417" spans="1:9" x14ac:dyDescent="0.3">
      <c r="A417" s="1">
        <v>45427</v>
      </c>
      <c r="B417" t="s">
        <v>12</v>
      </c>
      <c r="C417" t="s">
        <v>25</v>
      </c>
      <c r="D417" t="s">
        <v>16</v>
      </c>
      <c r="E417" t="s">
        <v>13</v>
      </c>
      <c r="F417">
        <v>2</v>
      </c>
      <c r="G417">
        <v>192.42</v>
      </c>
      <c r="H417">
        <v>384.84</v>
      </c>
      <c r="I417" t="s">
        <v>52</v>
      </c>
    </row>
    <row r="418" spans="1:9" x14ac:dyDescent="0.3">
      <c r="A418" s="1">
        <v>45429</v>
      </c>
      <c r="B418" t="s">
        <v>14</v>
      </c>
      <c r="C418" t="s">
        <v>21</v>
      </c>
      <c r="D418" t="s">
        <v>10</v>
      </c>
      <c r="E418" t="s">
        <v>31</v>
      </c>
      <c r="F418">
        <v>8</v>
      </c>
      <c r="G418">
        <v>48.23</v>
      </c>
      <c r="H418">
        <v>385.84</v>
      </c>
      <c r="I418" t="s">
        <v>52</v>
      </c>
    </row>
    <row r="419" spans="1:9" x14ac:dyDescent="0.3">
      <c r="A419" s="1">
        <v>45425</v>
      </c>
      <c r="B419" t="s">
        <v>20</v>
      </c>
      <c r="C419" t="s">
        <v>18</v>
      </c>
      <c r="D419" t="s">
        <v>19</v>
      </c>
      <c r="E419" t="s">
        <v>27</v>
      </c>
      <c r="F419">
        <v>5</v>
      </c>
      <c r="G419">
        <v>826.42</v>
      </c>
      <c r="H419">
        <v>4132.1000000000004</v>
      </c>
      <c r="I419" t="s">
        <v>52</v>
      </c>
    </row>
    <row r="420" spans="1:9" x14ac:dyDescent="0.3">
      <c r="A420" s="1">
        <v>45443</v>
      </c>
      <c r="B420" t="s">
        <v>14</v>
      </c>
      <c r="C420" t="s">
        <v>15</v>
      </c>
      <c r="D420" t="s">
        <v>16</v>
      </c>
      <c r="E420" t="s">
        <v>11</v>
      </c>
      <c r="F420">
        <v>7</v>
      </c>
      <c r="G420">
        <v>438.93</v>
      </c>
      <c r="H420">
        <v>3072.51</v>
      </c>
      <c r="I420" t="s">
        <v>52</v>
      </c>
    </row>
    <row r="421" spans="1:9" x14ac:dyDescent="0.3">
      <c r="A421" s="1">
        <v>45422</v>
      </c>
      <c r="B421" t="s">
        <v>14</v>
      </c>
      <c r="C421" t="s">
        <v>24</v>
      </c>
      <c r="D421" t="s">
        <v>19</v>
      </c>
      <c r="E421" t="s">
        <v>11</v>
      </c>
      <c r="F421">
        <v>5</v>
      </c>
      <c r="G421">
        <v>243.53</v>
      </c>
      <c r="H421">
        <v>1217.6500000000001</v>
      </c>
      <c r="I421" t="s">
        <v>52</v>
      </c>
    </row>
    <row r="422" spans="1:9" x14ac:dyDescent="0.3">
      <c r="A422" s="1">
        <v>45419</v>
      </c>
      <c r="B422" t="s">
        <v>12</v>
      </c>
      <c r="C422" t="s">
        <v>21</v>
      </c>
      <c r="D422" t="s">
        <v>10</v>
      </c>
      <c r="E422" t="s">
        <v>31</v>
      </c>
      <c r="F422">
        <v>8</v>
      </c>
      <c r="G422">
        <v>49</v>
      </c>
      <c r="H422">
        <v>392</v>
      </c>
      <c r="I422" t="s">
        <v>52</v>
      </c>
    </row>
    <row r="423" spans="1:9" x14ac:dyDescent="0.3">
      <c r="A423" s="1">
        <v>45422</v>
      </c>
      <c r="B423" t="s">
        <v>14</v>
      </c>
      <c r="C423" t="s">
        <v>29</v>
      </c>
      <c r="D423" t="s">
        <v>30</v>
      </c>
      <c r="E423" t="s">
        <v>17</v>
      </c>
      <c r="F423">
        <v>1</v>
      </c>
      <c r="G423">
        <v>295.27</v>
      </c>
      <c r="H423">
        <v>295.27</v>
      </c>
      <c r="I423" t="s">
        <v>52</v>
      </c>
    </row>
    <row r="424" spans="1:9" x14ac:dyDescent="0.3">
      <c r="A424" s="1">
        <v>45442</v>
      </c>
      <c r="B424" t="s">
        <v>14</v>
      </c>
      <c r="C424" t="s">
        <v>9</v>
      </c>
      <c r="D424" t="s">
        <v>10</v>
      </c>
      <c r="E424" t="s">
        <v>26</v>
      </c>
      <c r="F424">
        <v>2</v>
      </c>
      <c r="G424">
        <v>27.91</v>
      </c>
      <c r="H424">
        <v>55.82</v>
      </c>
      <c r="I424" t="s">
        <v>52</v>
      </c>
    </row>
    <row r="425" spans="1:9" x14ac:dyDescent="0.3">
      <c r="A425" s="1">
        <v>45803</v>
      </c>
      <c r="B425" t="s">
        <v>14</v>
      </c>
      <c r="C425" t="s">
        <v>25</v>
      </c>
      <c r="D425" t="s">
        <v>16</v>
      </c>
      <c r="E425" t="s">
        <v>31</v>
      </c>
      <c r="F425">
        <v>7</v>
      </c>
      <c r="G425">
        <v>195.47</v>
      </c>
      <c r="H425">
        <v>1368.29</v>
      </c>
      <c r="I425" t="s">
        <v>62</v>
      </c>
    </row>
    <row r="426" spans="1:9" x14ac:dyDescent="0.3">
      <c r="A426" s="1">
        <v>45797</v>
      </c>
      <c r="B426" t="s">
        <v>8</v>
      </c>
      <c r="C426" t="s">
        <v>21</v>
      </c>
      <c r="D426" t="s">
        <v>10</v>
      </c>
      <c r="E426" t="s">
        <v>28</v>
      </c>
      <c r="F426">
        <v>4</v>
      </c>
      <c r="G426">
        <v>42.5</v>
      </c>
      <c r="H426">
        <v>170</v>
      </c>
      <c r="I426" t="s">
        <v>62</v>
      </c>
    </row>
    <row r="427" spans="1:9" x14ac:dyDescent="0.3">
      <c r="A427" s="1">
        <v>45804</v>
      </c>
      <c r="B427" t="s">
        <v>8</v>
      </c>
      <c r="C427" t="s">
        <v>22</v>
      </c>
      <c r="D427" t="s">
        <v>10</v>
      </c>
      <c r="E427" t="s">
        <v>13</v>
      </c>
      <c r="F427">
        <v>7</v>
      </c>
      <c r="G427">
        <v>64.260000000000005</v>
      </c>
      <c r="H427">
        <v>449.82</v>
      </c>
      <c r="I427" t="s">
        <v>62</v>
      </c>
    </row>
    <row r="428" spans="1:9" x14ac:dyDescent="0.3">
      <c r="A428" s="1">
        <v>45792</v>
      </c>
      <c r="B428" t="s">
        <v>8</v>
      </c>
      <c r="C428" t="s">
        <v>29</v>
      </c>
      <c r="D428" t="s">
        <v>30</v>
      </c>
      <c r="E428" t="s">
        <v>17</v>
      </c>
      <c r="F428">
        <v>8</v>
      </c>
      <c r="G428">
        <v>347.18</v>
      </c>
      <c r="H428">
        <v>2777.44</v>
      </c>
      <c r="I428" t="s">
        <v>62</v>
      </c>
    </row>
    <row r="429" spans="1:9" x14ac:dyDescent="0.3">
      <c r="A429" s="1">
        <v>45789</v>
      </c>
      <c r="B429" t="s">
        <v>8</v>
      </c>
      <c r="C429" t="s">
        <v>15</v>
      </c>
      <c r="D429" t="s">
        <v>16</v>
      </c>
      <c r="E429" t="s">
        <v>23</v>
      </c>
      <c r="F429">
        <v>7</v>
      </c>
      <c r="G429">
        <v>410.65</v>
      </c>
      <c r="H429">
        <v>2874.55</v>
      </c>
      <c r="I429" t="s">
        <v>62</v>
      </c>
    </row>
    <row r="430" spans="1:9" x14ac:dyDescent="0.3">
      <c r="A430" s="1">
        <v>45778</v>
      </c>
      <c r="B430" t="s">
        <v>14</v>
      </c>
      <c r="C430" t="s">
        <v>24</v>
      </c>
      <c r="D430" t="s">
        <v>19</v>
      </c>
      <c r="E430" t="s">
        <v>28</v>
      </c>
      <c r="F430">
        <v>2</v>
      </c>
      <c r="G430">
        <v>263.99</v>
      </c>
      <c r="H430">
        <v>527.98</v>
      </c>
      <c r="I430" t="s">
        <v>62</v>
      </c>
    </row>
    <row r="431" spans="1:9" x14ac:dyDescent="0.3">
      <c r="A431" s="1">
        <v>45789</v>
      </c>
      <c r="B431" t="s">
        <v>12</v>
      </c>
      <c r="C431" t="s">
        <v>9</v>
      </c>
      <c r="D431" t="s">
        <v>10</v>
      </c>
      <c r="E431" t="s">
        <v>27</v>
      </c>
      <c r="F431">
        <v>5</v>
      </c>
      <c r="G431">
        <v>27.09</v>
      </c>
      <c r="H431">
        <v>135.44999999999999</v>
      </c>
      <c r="I431" t="s">
        <v>62</v>
      </c>
    </row>
    <row r="432" spans="1:9" x14ac:dyDescent="0.3">
      <c r="A432" s="1">
        <v>45789</v>
      </c>
      <c r="B432" t="s">
        <v>12</v>
      </c>
      <c r="C432" t="s">
        <v>21</v>
      </c>
      <c r="D432" t="s">
        <v>10</v>
      </c>
      <c r="E432" t="s">
        <v>27</v>
      </c>
      <c r="F432">
        <v>6</v>
      </c>
      <c r="G432">
        <v>45.2</v>
      </c>
      <c r="H432">
        <v>271.2</v>
      </c>
      <c r="I432" t="s">
        <v>62</v>
      </c>
    </row>
    <row r="433" spans="1:9" x14ac:dyDescent="0.3">
      <c r="A433" s="1">
        <v>45784</v>
      </c>
      <c r="B433" t="s">
        <v>20</v>
      </c>
      <c r="C433" t="s">
        <v>24</v>
      </c>
      <c r="D433" t="s">
        <v>19</v>
      </c>
      <c r="E433" t="s">
        <v>31</v>
      </c>
      <c r="F433">
        <v>1</v>
      </c>
      <c r="G433">
        <v>263.5</v>
      </c>
      <c r="H433">
        <v>263.5</v>
      </c>
      <c r="I433" t="s">
        <v>62</v>
      </c>
    </row>
    <row r="434" spans="1:9" x14ac:dyDescent="0.3">
      <c r="A434" s="1">
        <v>45790</v>
      </c>
      <c r="B434" t="s">
        <v>12</v>
      </c>
      <c r="C434" t="s">
        <v>9</v>
      </c>
      <c r="D434" t="s">
        <v>10</v>
      </c>
      <c r="E434" t="s">
        <v>27</v>
      </c>
      <c r="F434">
        <v>6</v>
      </c>
      <c r="G434">
        <v>27.47</v>
      </c>
      <c r="H434">
        <v>164.82</v>
      </c>
      <c r="I434" t="s">
        <v>62</v>
      </c>
    </row>
    <row r="435" spans="1:9" x14ac:dyDescent="0.3">
      <c r="A435" s="1">
        <v>45780</v>
      </c>
      <c r="B435" t="s">
        <v>12</v>
      </c>
      <c r="C435" t="s">
        <v>29</v>
      </c>
      <c r="D435" t="s">
        <v>30</v>
      </c>
      <c r="E435" t="s">
        <v>28</v>
      </c>
      <c r="F435">
        <v>8</v>
      </c>
      <c r="G435">
        <v>349.11</v>
      </c>
      <c r="H435">
        <v>2792.88</v>
      </c>
      <c r="I435" t="s">
        <v>62</v>
      </c>
    </row>
    <row r="436" spans="1:9" x14ac:dyDescent="0.3">
      <c r="A436" s="1">
        <v>45806</v>
      </c>
      <c r="B436" t="s">
        <v>8</v>
      </c>
      <c r="C436" t="s">
        <v>25</v>
      </c>
      <c r="D436" t="s">
        <v>16</v>
      </c>
      <c r="E436" t="s">
        <v>23</v>
      </c>
      <c r="F436">
        <v>2</v>
      </c>
      <c r="G436">
        <v>188.56</v>
      </c>
      <c r="H436">
        <v>377.12</v>
      </c>
      <c r="I436" t="s">
        <v>62</v>
      </c>
    </row>
    <row r="437" spans="1:9" x14ac:dyDescent="0.3">
      <c r="A437" s="1">
        <v>45792</v>
      </c>
      <c r="B437" t="s">
        <v>14</v>
      </c>
      <c r="C437" t="s">
        <v>29</v>
      </c>
      <c r="D437" t="s">
        <v>30</v>
      </c>
      <c r="E437" t="s">
        <v>28</v>
      </c>
      <c r="F437">
        <v>3</v>
      </c>
      <c r="G437">
        <v>348.84</v>
      </c>
      <c r="H437">
        <v>1046.52</v>
      </c>
      <c r="I437" t="s">
        <v>62</v>
      </c>
    </row>
    <row r="438" spans="1:9" x14ac:dyDescent="0.3">
      <c r="A438" s="1">
        <v>45778</v>
      </c>
      <c r="B438" t="s">
        <v>20</v>
      </c>
      <c r="C438" t="s">
        <v>29</v>
      </c>
      <c r="D438" t="s">
        <v>30</v>
      </c>
      <c r="E438" t="s">
        <v>13</v>
      </c>
      <c r="F438">
        <v>8</v>
      </c>
      <c r="G438">
        <v>310.12</v>
      </c>
      <c r="H438">
        <v>2480.96</v>
      </c>
      <c r="I438" t="s">
        <v>62</v>
      </c>
    </row>
    <row r="439" spans="1:9" x14ac:dyDescent="0.3">
      <c r="A439" s="1">
        <v>45624</v>
      </c>
      <c r="B439" t="s">
        <v>14</v>
      </c>
      <c r="C439" t="s">
        <v>25</v>
      </c>
      <c r="D439" t="s">
        <v>16</v>
      </c>
      <c r="E439" t="s">
        <v>11</v>
      </c>
      <c r="F439">
        <v>4</v>
      </c>
      <c r="G439">
        <v>165.88</v>
      </c>
      <c r="H439">
        <v>663.52</v>
      </c>
      <c r="I439" t="s">
        <v>53</v>
      </c>
    </row>
    <row r="440" spans="1:9" x14ac:dyDescent="0.3">
      <c r="A440" s="1">
        <v>45615</v>
      </c>
      <c r="B440" t="s">
        <v>12</v>
      </c>
      <c r="C440" t="s">
        <v>24</v>
      </c>
      <c r="D440" t="s">
        <v>19</v>
      </c>
      <c r="E440" t="s">
        <v>17</v>
      </c>
      <c r="F440">
        <v>8</v>
      </c>
      <c r="G440">
        <v>250.43</v>
      </c>
      <c r="H440">
        <v>2003.44</v>
      </c>
      <c r="I440" t="s">
        <v>53</v>
      </c>
    </row>
    <row r="441" spans="1:9" x14ac:dyDescent="0.3">
      <c r="A441" s="1">
        <v>45614</v>
      </c>
      <c r="B441" t="s">
        <v>12</v>
      </c>
      <c r="C441" t="s">
        <v>15</v>
      </c>
      <c r="D441" t="s">
        <v>16</v>
      </c>
      <c r="E441" t="s">
        <v>17</v>
      </c>
      <c r="F441">
        <v>2</v>
      </c>
      <c r="G441">
        <v>366.16</v>
      </c>
      <c r="H441">
        <v>732.32</v>
      </c>
      <c r="I441" t="s">
        <v>53</v>
      </c>
    </row>
    <row r="442" spans="1:9" x14ac:dyDescent="0.3">
      <c r="A442" s="1">
        <v>45597</v>
      </c>
      <c r="B442" t="s">
        <v>8</v>
      </c>
      <c r="C442" t="s">
        <v>25</v>
      </c>
      <c r="D442" t="s">
        <v>16</v>
      </c>
      <c r="E442" t="s">
        <v>28</v>
      </c>
      <c r="F442">
        <v>2</v>
      </c>
      <c r="G442">
        <v>183.27</v>
      </c>
      <c r="H442">
        <v>366.54</v>
      </c>
      <c r="I442" t="s">
        <v>53</v>
      </c>
    </row>
    <row r="443" spans="1:9" x14ac:dyDescent="0.3">
      <c r="A443" s="1">
        <v>45623</v>
      </c>
      <c r="B443" t="s">
        <v>12</v>
      </c>
      <c r="C443" t="s">
        <v>21</v>
      </c>
      <c r="D443" t="s">
        <v>10</v>
      </c>
      <c r="E443" t="s">
        <v>13</v>
      </c>
      <c r="F443">
        <v>3</v>
      </c>
      <c r="G443">
        <v>41.52</v>
      </c>
      <c r="H443">
        <v>124.56</v>
      </c>
      <c r="I443" t="s">
        <v>53</v>
      </c>
    </row>
    <row r="444" spans="1:9" x14ac:dyDescent="0.3">
      <c r="A444" s="1">
        <v>45606</v>
      </c>
      <c r="B444" t="s">
        <v>12</v>
      </c>
      <c r="C444" t="s">
        <v>9</v>
      </c>
      <c r="D444" t="s">
        <v>10</v>
      </c>
      <c r="E444" t="s">
        <v>27</v>
      </c>
      <c r="F444">
        <v>7</v>
      </c>
      <c r="G444">
        <v>31.9</v>
      </c>
      <c r="H444">
        <v>223.3</v>
      </c>
      <c r="I444" t="s">
        <v>53</v>
      </c>
    </row>
    <row r="445" spans="1:9" x14ac:dyDescent="0.3">
      <c r="A445" s="1">
        <v>45611</v>
      </c>
      <c r="B445" t="s">
        <v>20</v>
      </c>
      <c r="C445" t="s">
        <v>22</v>
      </c>
      <c r="D445" t="s">
        <v>10</v>
      </c>
      <c r="E445" t="s">
        <v>13</v>
      </c>
      <c r="F445">
        <v>2</v>
      </c>
      <c r="G445">
        <v>72.69</v>
      </c>
      <c r="H445">
        <v>145.38</v>
      </c>
      <c r="I445" t="s">
        <v>53</v>
      </c>
    </row>
    <row r="446" spans="1:9" x14ac:dyDescent="0.3">
      <c r="A446" s="1">
        <v>45613</v>
      </c>
      <c r="B446" t="s">
        <v>12</v>
      </c>
      <c r="C446" t="s">
        <v>18</v>
      </c>
      <c r="D446" t="s">
        <v>19</v>
      </c>
      <c r="E446" t="s">
        <v>26</v>
      </c>
      <c r="F446">
        <v>1</v>
      </c>
      <c r="G446">
        <v>908.86</v>
      </c>
      <c r="H446">
        <v>908.86</v>
      </c>
      <c r="I446" t="s">
        <v>53</v>
      </c>
    </row>
    <row r="447" spans="1:9" x14ac:dyDescent="0.3">
      <c r="A447" s="1">
        <v>45615</v>
      </c>
      <c r="B447" t="s">
        <v>12</v>
      </c>
      <c r="C447" t="s">
        <v>29</v>
      </c>
      <c r="D447" t="s">
        <v>30</v>
      </c>
      <c r="E447" t="s">
        <v>23</v>
      </c>
      <c r="F447">
        <v>1</v>
      </c>
      <c r="G447">
        <v>342.82</v>
      </c>
      <c r="H447">
        <v>342.82</v>
      </c>
      <c r="I447" t="s">
        <v>53</v>
      </c>
    </row>
    <row r="448" spans="1:9" x14ac:dyDescent="0.3">
      <c r="A448" s="1">
        <v>45613</v>
      </c>
      <c r="B448" t="s">
        <v>14</v>
      </c>
      <c r="C448" t="s">
        <v>22</v>
      </c>
      <c r="D448" t="s">
        <v>10</v>
      </c>
      <c r="E448" t="s">
        <v>27</v>
      </c>
      <c r="F448">
        <v>5</v>
      </c>
      <c r="G448">
        <v>71.989999999999995</v>
      </c>
      <c r="H448">
        <v>359.95</v>
      </c>
      <c r="I448" t="s">
        <v>53</v>
      </c>
    </row>
    <row r="449" spans="1:9" x14ac:dyDescent="0.3">
      <c r="A449" s="1">
        <v>45599</v>
      </c>
      <c r="B449" t="s">
        <v>14</v>
      </c>
      <c r="C449" t="s">
        <v>29</v>
      </c>
      <c r="D449" t="s">
        <v>30</v>
      </c>
      <c r="E449" t="s">
        <v>27</v>
      </c>
      <c r="F449">
        <v>6</v>
      </c>
      <c r="G449">
        <v>317.33</v>
      </c>
      <c r="H449">
        <v>1903.98</v>
      </c>
      <c r="I449" t="s">
        <v>53</v>
      </c>
    </row>
    <row r="450" spans="1:9" x14ac:dyDescent="0.3">
      <c r="A450" s="1">
        <v>45615</v>
      </c>
      <c r="B450" t="s">
        <v>12</v>
      </c>
      <c r="C450" t="s">
        <v>15</v>
      </c>
      <c r="D450" t="s">
        <v>16</v>
      </c>
      <c r="E450" t="s">
        <v>23</v>
      </c>
      <c r="F450">
        <v>5</v>
      </c>
      <c r="G450">
        <v>435.32</v>
      </c>
      <c r="H450">
        <v>2176.6</v>
      </c>
      <c r="I450" t="s">
        <v>53</v>
      </c>
    </row>
    <row r="451" spans="1:9" x14ac:dyDescent="0.3">
      <c r="A451" s="1">
        <v>45601</v>
      </c>
      <c r="B451" t="s">
        <v>14</v>
      </c>
      <c r="C451" t="s">
        <v>18</v>
      </c>
      <c r="D451" t="s">
        <v>19</v>
      </c>
      <c r="E451" t="s">
        <v>13</v>
      </c>
      <c r="F451">
        <v>4</v>
      </c>
      <c r="G451">
        <v>860.77</v>
      </c>
      <c r="H451">
        <v>3443.08</v>
      </c>
      <c r="I451" t="s">
        <v>53</v>
      </c>
    </row>
    <row r="452" spans="1:9" x14ac:dyDescent="0.3">
      <c r="A452" s="1">
        <v>45598</v>
      </c>
      <c r="B452" t="s">
        <v>8</v>
      </c>
      <c r="C452" t="s">
        <v>21</v>
      </c>
      <c r="D452" t="s">
        <v>10</v>
      </c>
      <c r="E452" t="s">
        <v>27</v>
      </c>
      <c r="F452">
        <v>7</v>
      </c>
      <c r="G452">
        <v>47.49</v>
      </c>
      <c r="H452">
        <v>332.43</v>
      </c>
      <c r="I452" t="s">
        <v>53</v>
      </c>
    </row>
    <row r="453" spans="1:9" x14ac:dyDescent="0.3">
      <c r="A453" s="1">
        <v>45607</v>
      </c>
      <c r="B453" t="s">
        <v>12</v>
      </c>
      <c r="C453" t="s">
        <v>24</v>
      </c>
      <c r="D453" t="s">
        <v>19</v>
      </c>
      <c r="E453" t="s">
        <v>23</v>
      </c>
      <c r="F453">
        <v>2</v>
      </c>
      <c r="G453">
        <v>272.36</v>
      </c>
      <c r="H453">
        <v>544.72</v>
      </c>
      <c r="I453" t="s">
        <v>53</v>
      </c>
    </row>
    <row r="454" spans="1:9" x14ac:dyDescent="0.3">
      <c r="A454" s="1">
        <v>45604</v>
      </c>
      <c r="B454" t="s">
        <v>8</v>
      </c>
      <c r="C454" t="s">
        <v>24</v>
      </c>
      <c r="D454" t="s">
        <v>19</v>
      </c>
      <c r="E454" t="s">
        <v>28</v>
      </c>
      <c r="F454">
        <v>8</v>
      </c>
      <c r="G454">
        <v>256.47000000000003</v>
      </c>
      <c r="H454">
        <v>2051.7600000000002</v>
      </c>
      <c r="I454" t="s">
        <v>53</v>
      </c>
    </row>
    <row r="455" spans="1:9" x14ac:dyDescent="0.3">
      <c r="A455" s="1">
        <v>45613</v>
      </c>
      <c r="B455" t="s">
        <v>8</v>
      </c>
      <c r="C455" t="s">
        <v>25</v>
      </c>
      <c r="D455" t="s">
        <v>16</v>
      </c>
      <c r="E455" t="s">
        <v>13</v>
      </c>
      <c r="F455">
        <v>2</v>
      </c>
      <c r="G455">
        <v>188.13</v>
      </c>
      <c r="H455">
        <v>376.26</v>
      </c>
      <c r="I455" t="s">
        <v>53</v>
      </c>
    </row>
    <row r="456" spans="1:9" x14ac:dyDescent="0.3">
      <c r="A456" s="1">
        <v>45613</v>
      </c>
      <c r="B456" t="s">
        <v>8</v>
      </c>
      <c r="C456" t="s">
        <v>21</v>
      </c>
      <c r="D456" t="s">
        <v>10</v>
      </c>
      <c r="E456" t="s">
        <v>27</v>
      </c>
      <c r="F456">
        <v>4</v>
      </c>
      <c r="G456">
        <v>45.5</v>
      </c>
      <c r="H456">
        <v>182</v>
      </c>
      <c r="I456" t="s">
        <v>53</v>
      </c>
    </row>
    <row r="457" spans="1:9" x14ac:dyDescent="0.3">
      <c r="A457" s="1">
        <v>45599</v>
      </c>
      <c r="B457" t="s">
        <v>12</v>
      </c>
      <c r="C457" t="s">
        <v>15</v>
      </c>
      <c r="D457" t="s">
        <v>16</v>
      </c>
      <c r="E457" t="s">
        <v>13</v>
      </c>
      <c r="F457">
        <v>2</v>
      </c>
      <c r="G457">
        <v>427.97</v>
      </c>
      <c r="H457">
        <v>855.94</v>
      </c>
      <c r="I457" t="s">
        <v>53</v>
      </c>
    </row>
    <row r="458" spans="1:9" x14ac:dyDescent="0.3">
      <c r="A458" s="1">
        <v>45608</v>
      </c>
      <c r="B458" t="s">
        <v>14</v>
      </c>
      <c r="C458" t="s">
        <v>15</v>
      </c>
      <c r="D458" t="s">
        <v>16</v>
      </c>
      <c r="E458" t="s">
        <v>13</v>
      </c>
      <c r="F458">
        <v>3</v>
      </c>
      <c r="G458">
        <v>396.04</v>
      </c>
      <c r="H458">
        <v>1188.1199999999999</v>
      </c>
      <c r="I458" t="s">
        <v>53</v>
      </c>
    </row>
    <row r="459" spans="1:9" x14ac:dyDescent="0.3">
      <c r="A459" s="1">
        <v>45626</v>
      </c>
      <c r="B459" t="s">
        <v>12</v>
      </c>
      <c r="C459" t="s">
        <v>9</v>
      </c>
      <c r="D459" t="s">
        <v>10</v>
      </c>
      <c r="E459" t="s">
        <v>26</v>
      </c>
      <c r="F459">
        <v>2</v>
      </c>
      <c r="G459">
        <v>30.64</v>
      </c>
      <c r="H459">
        <v>61.28</v>
      </c>
      <c r="I459" t="s">
        <v>53</v>
      </c>
    </row>
    <row r="460" spans="1:9" x14ac:dyDescent="0.3">
      <c r="A460" s="1">
        <v>45600</v>
      </c>
      <c r="B460" t="s">
        <v>14</v>
      </c>
      <c r="C460" t="s">
        <v>24</v>
      </c>
      <c r="D460" t="s">
        <v>19</v>
      </c>
      <c r="E460" t="s">
        <v>28</v>
      </c>
      <c r="F460">
        <v>4</v>
      </c>
      <c r="G460">
        <v>245.17</v>
      </c>
      <c r="H460">
        <v>980.68</v>
      </c>
      <c r="I460" t="s">
        <v>53</v>
      </c>
    </row>
    <row r="461" spans="1:9" x14ac:dyDescent="0.3">
      <c r="A461" s="1">
        <v>45603</v>
      </c>
      <c r="B461" t="s">
        <v>12</v>
      </c>
      <c r="C461" t="s">
        <v>29</v>
      </c>
      <c r="D461" t="s">
        <v>30</v>
      </c>
      <c r="E461" t="s">
        <v>27</v>
      </c>
      <c r="F461">
        <v>3</v>
      </c>
      <c r="G461">
        <v>327.7</v>
      </c>
      <c r="H461">
        <v>983.1</v>
      </c>
      <c r="I461" t="s">
        <v>53</v>
      </c>
    </row>
    <row r="462" spans="1:9" x14ac:dyDescent="0.3">
      <c r="A462" s="1">
        <v>45621</v>
      </c>
      <c r="B462" t="s">
        <v>20</v>
      </c>
      <c r="C462" t="s">
        <v>25</v>
      </c>
      <c r="D462" t="s">
        <v>16</v>
      </c>
      <c r="E462" t="s">
        <v>13</v>
      </c>
      <c r="F462">
        <v>3</v>
      </c>
      <c r="G462">
        <v>176.12</v>
      </c>
      <c r="H462">
        <v>528.36</v>
      </c>
      <c r="I462" t="s">
        <v>53</v>
      </c>
    </row>
    <row r="463" spans="1:9" x14ac:dyDescent="0.3">
      <c r="A463" s="1">
        <v>45609</v>
      </c>
      <c r="B463" t="s">
        <v>14</v>
      </c>
      <c r="C463" t="s">
        <v>18</v>
      </c>
      <c r="D463" t="s">
        <v>19</v>
      </c>
      <c r="E463" t="s">
        <v>31</v>
      </c>
      <c r="F463">
        <v>7</v>
      </c>
      <c r="G463">
        <v>823.66</v>
      </c>
      <c r="H463">
        <v>5765.62</v>
      </c>
      <c r="I463" t="s">
        <v>53</v>
      </c>
    </row>
    <row r="464" spans="1:9" x14ac:dyDescent="0.3">
      <c r="A464" s="1">
        <v>45984</v>
      </c>
      <c r="B464" t="s">
        <v>14</v>
      </c>
      <c r="C464" t="s">
        <v>24</v>
      </c>
      <c r="D464" t="s">
        <v>19</v>
      </c>
      <c r="E464" t="s">
        <v>23</v>
      </c>
      <c r="F464">
        <v>5</v>
      </c>
      <c r="G464">
        <v>255.06</v>
      </c>
      <c r="H464">
        <v>1275.3</v>
      </c>
      <c r="I464" t="s">
        <v>54</v>
      </c>
    </row>
    <row r="465" spans="1:9" x14ac:dyDescent="0.3">
      <c r="A465" s="1">
        <v>45969</v>
      </c>
      <c r="B465" t="s">
        <v>12</v>
      </c>
      <c r="C465" t="s">
        <v>29</v>
      </c>
      <c r="D465" t="s">
        <v>30</v>
      </c>
      <c r="E465" t="s">
        <v>31</v>
      </c>
      <c r="F465">
        <v>1</v>
      </c>
      <c r="G465">
        <v>305.98</v>
      </c>
      <c r="H465">
        <v>305.98</v>
      </c>
      <c r="I465" t="s">
        <v>54</v>
      </c>
    </row>
    <row r="466" spans="1:9" x14ac:dyDescent="0.3">
      <c r="A466" s="1">
        <v>45978</v>
      </c>
      <c r="B466" t="s">
        <v>8</v>
      </c>
      <c r="C466" t="s">
        <v>21</v>
      </c>
      <c r="D466" t="s">
        <v>10</v>
      </c>
      <c r="E466" t="s">
        <v>13</v>
      </c>
      <c r="F466">
        <v>7</v>
      </c>
      <c r="G466">
        <v>41.54</v>
      </c>
      <c r="H466">
        <v>290.77999999999997</v>
      </c>
      <c r="I466" t="s">
        <v>54</v>
      </c>
    </row>
    <row r="467" spans="1:9" x14ac:dyDescent="0.3">
      <c r="A467" s="1">
        <v>45991</v>
      </c>
      <c r="B467" t="s">
        <v>20</v>
      </c>
      <c r="C467" t="s">
        <v>15</v>
      </c>
      <c r="D467" t="s">
        <v>16</v>
      </c>
      <c r="E467" t="s">
        <v>11</v>
      </c>
      <c r="F467">
        <v>8</v>
      </c>
      <c r="G467">
        <v>386.47</v>
      </c>
      <c r="H467">
        <v>3091.76</v>
      </c>
      <c r="I467" t="s">
        <v>54</v>
      </c>
    </row>
    <row r="468" spans="1:9" x14ac:dyDescent="0.3">
      <c r="A468" s="1">
        <v>45963</v>
      </c>
      <c r="B468" t="s">
        <v>20</v>
      </c>
      <c r="C468" t="s">
        <v>25</v>
      </c>
      <c r="D468" t="s">
        <v>16</v>
      </c>
      <c r="E468" t="s">
        <v>28</v>
      </c>
      <c r="F468">
        <v>1</v>
      </c>
      <c r="G468">
        <v>167.8</v>
      </c>
      <c r="H468">
        <v>167.8</v>
      </c>
      <c r="I468" t="s">
        <v>54</v>
      </c>
    </row>
    <row r="469" spans="1:9" x14ac:dyDescent="0.3">
      <c r="A469" s="1">
        <v>45988</v>
      </c>
      <c r="B469" t="s">
        <v>12</v>
      </c>
      <c r="C469" t="s">
        <v>29</v>
      </c>
      <c r="D469" t="s">
        <v>30</v>
      </c>
      <c r="E469" t="s">
        <v>13</v>
      </c>
      <c r="F469">
        <v>8</v>
      </c>
      <c r="G469">
        <v>311.27</v>
      </c>
      <c r="H469">
        <v>2490.16</v>
      </c>
      <c r="I469" t="s">
        <v>54</v>
      </c>
    </row>
    <row r="470" spans="1:9" x14ac:dyDescent="0.3">
      <c r="A470" s="1">
        <v>45988</v>
      </c>
      <c r="B470" t="s">
        <v>20</v>
      </c>
      <c r="C470" t="s">
        <v>21</v>
      </c>
      <c r="D470" t="s">
        <v>10</v>
      </c>
      <c r="E470" t="s">
        <v>26</v>
      </c>
      <c r="F470">
        <v>3</v>
      </c>
      <c r="G470">
        <v>48.67</v>
      </c>
      <c r="H470">
        <v>146.01</v>
      </c>
      <c r="I470" t="s">
        <v>54</v>
      </c>
    </row>
    <row r="471" spans="1:9" x14ac:dyDescent="0.3">
      <c r="A471" s="1">
        <v>45990</v>
      </c>
      <c r="B471" t="s">
        <v>20</v>
      </c>
      <c r="C471" t="s">
        <v>25</v>
      </c>
      <c r="D471" t="s">
        <v>16</v>
      </c>
      <c r="E471" t="s">
        <v>27</v>
      </c>
      <c r="F471">
        <v>4</v>
      </c>
      <c r="G471">
        <v>167.22</v>
      </c>
      <c r="H471">
        <v>668.88</v>
      </c>
      <c r="I471" t="s">
        <v>54</v>
      </c>
    </row>
    <row r="472" spans="1:9" x14ac:dyDescent="0.3">
      <c r="A472" s="1">
        <v>45967</v>
      </c>
      <c r="B472" t="s">
        <v>20</v>
      </c>
      <c r="C472" t="s">
        <v>25</v>
      </c>
      <c r="D472" t="s">
        <v>16</v>
      </c>
      <c r="E472" t="s">
        <v>26</v>
      </c>
      <c r="F472">
        <v>4</v>
      </c>
      <c r="G472">
        <v>193.94</v>
      </c>
      <c r="H472">
        <v>775.76</v>
      </c>
      <c r="I472" t="s">
        <v>54</v>
      </c>
    </row>
    <row r="473" spans="1:9" x14ac:dyDescent="0.3">
      <c r="A473" s="1">
        <v>45979</v>
      </c>
      <c r="B473" t="s">
        <v>20</v>
      </c>
      <c r="C473" t="s">
        <v>22</v>
      </c>
      <c r="D473" t="s">
        <v>10</v>
      </c>
      <c r="E473" t="s">
        <v>28</v>
      </c>
      <c r="F473">
        <v>3</v>
      </c>
      <c r="G473">
        <v>66.14</v>
      </c>
      <c r="H473">
        <v>198.42</v>
      </c>
      <c r="I473" t="s">
        <v>54</v>
      </c>
    </row>
    <row r="474" spans="1:9" x14ac:dyDescent="0.3">
      <c r="A474" s="1">
        <v>45977</v>
      </c>
      <c r="B474" t="s">
        <v>12</v>
      </c>
      <c r="C474" t="s">
        <v>21</v>
      </c>
      <c r="D474" t="s">
        <v>10</v>
      </c>
      <c r="E474" t="s">
        <v>23</v>
      </c>
      <c r="F474">
        <v>7</v>
      </c>
      <c r="G474">
        <v>43.83</v>
      </c>
      <c r="H474">
        <v>306.81</v>
      </c>
      <c r="I474" t="s">
        <v>54</v>
      </c>
    </row>
    <row r="475" spans="1:9" x14ac:dyDescent="0.3">
      <c r="A475" s="1">
        <v>45966</v>
      </c>
      <c r="B475" t="s">
        <v>20</v>
      </c>
      <c r="C475" t="s">
        <v>9</v>
      </c>
      <c r="D475" t="s">
        <v>10</v>
      </c>
      <c r="E475" t="s">
        <v>23</v>
      </c>
      <c r="F475">
        <v>1</v>
      </c>
      <c r="G475">
        <v>31.18</v>
      </c>
      <c r="H475">
        <v>31.18</v>
      </c>
      <c r="I475" t="s">
        <v>54</v>
      </c>
    </row>
    <row r="476" spans="1:9" x14ac:dyDescent="0.3">
      <c r="A476" s="1">
        <v>45981</v>
      </c>
      <c r="B476" t="s">
        <v>14</v>
      </c>
      <c r="C476" t="s">
        <v>24</v>
      </c>
      <c r="D476" t="s">
        <v>19</v>
      </c>
      <c r="E476" t="s">
        <v>23</v>
      </c>
      <c r="F476">
        <v>7</v>
      </c>
      <c r="G476">
        <v>268.87</v>
      </c>
      <c r="H476">
        <v>1882.09</v>
      </c>
      <c r="I476" t="s">
        <v>54</v>
      </c>
    </row>
    <row r="477" spans="1:9" x14ac:dyDescent="0.3">
      <c r="A477" s="1">
        <v>45969</v>
      </c>
      <c r="B477" t="s">
        <v>8</v>
      </c>
      <c r="C477" t="s">
        <v>24</v>
      </c>
      <c r="D477" t="s">
        <v>19</v>
      </c>
      <c r="E477" t="s">
        <v>31</v>
      </c>
      <c r="F477">
        <v>7</v>
      </c>
      <c r="G477">
        <v>246.95</v>
      </c>
      <c r="H477">
        <v>1728.65</v>
      </c>
      <c r="I477" t="s">
        <v>54</v>
      </c>
    </row>
    <row r="478" spans="1:9" x14ac:dyDescent="0.3">
      <c r="A478" s="1">
        <v>45983</v>
      </c>
      <c r="B478" t="s">
        <v>20</v>
      </c>
      <c r="C478" t="s">
        <v>9</v>
      </c>
      <c r="D478" t="s">
        <v>10</v>
      </c>
      <c r="E478" t="s">
        <v>31</v>
      </c>
      <c r="F478">
        <v>5</v>
      </c>
      <c r="G478">
        <v>27.24</v>
      </c>
      <c r="H478">
        <v>136.19999999999999</v>
      </c>
      <c r="I478" t="s">
        <v>54</v>
      </c>
    </row>
    <row r="479" spans="1:9" x14ac:dyDescent="0.3">
      <c r="A479" s="1">
        <v>45965</v>
      </c>
      <c r="B479" t="s">
        <v>20</v>
      </c>
      <c r="C479" t="s">
        <v>22</v>
      </c>
      <c r="D479" t="s">
        <v>10</v>
      </c>
      <c r="E479" t="s">
        <v>28</v>
      </c>
      <c r="F479">
        <v>4</v>
      </c>
      <c r="G479">
        <v>63.63</v>
      </c>
      <c r="H479">
        <v>254.52</v>
      </c>
      <c r="I479" t="s">
        <v>54</v>
      </c>
    </row>
    <row r="480" spans="1:9" x14ac:dyDescent="0.3">
      <c r="A480" s="1">
        <v>45977</v>
      </c>
      <c r="B480" t="s">
        <v>20</v>
      </c>
      <c r="C480" t="s">
        <v>9</v>
      </c>
      <c r="D480" t="s">
        <v>10</v>
      </c>
      <c r="E480" t="s">
        <v>26</v>
      </c>
      <c r="F480">
        <v>2</v>
      </c>
      <c r="G480">
        <v>27.42</v>
      </c>
      <c r="H480">
        <v>54.84</v>
      </c>
      <c r="I480" t="s">
        <v>54</v>
      </c>
    </row>
    <row r="481" spans="1:9" x14ac:dyDescent="0.3">
      <c r="A481" s="1">
        <v>45979</v>
      </c>
      <c r="B481" t="s">
        <v>14</v>
      </c>
      <c r="C481" t="s">
        <v>29</v>
      </c>
      <c r="D481" t="s">
        <v>30</v>
      </c>
      <c r="E481" t="s">
        <v>17</v>
      </c>
      <c r="F481">
        <v>7</v>
      </c>
      <c r="G481">
        <v>312.83999999999997</v>
      </c>
      <c r="H481">
        <v>2189.88</v>
      </c>
      <c r="I481" t="s">
        <v>54</v>
      </c>
    </row>
    <row r="482" spans="1:9" x14ac:dyDescent="0.3">
      <c r="A482" s="1">
        <v>45975</v>
      </c>
      <c r="B482" t="s">
        <v>14</v>
      </c>
      <c r="C482" t="s">
        <v>9</v>
      </c>
      <c r="D482" t="s">
        <v>10</v>
      </c>
      <c r="E482" t="s">
        <v>31</v>
      </c>
      <c r="F482">
        <v>5</v>
      </c>
      <c r="G482">
        <v>29.48</v>
      </c>
      <c r="H482">
        <v>147.4</v>
      </c>
      <c r="I482" t="s">
        <v>54</v>
      </c>
    </row>
    <row r="483" spans="1:9" x14ac:dyDescent="0.3">
      <c r="A483" s="1">
        <v>45971</v>
      </c>
      <c r="B483" t="s">
        <v>20</v>
      </c>
      <c r="C483" t="s">
        <v>25</v>
      </c>
      <c r="D483" t="s">
        <v>16</v>
      </c>
      <c r="E483" t="s">
        <v>11</v>
      </c>
      <c r="F483">
        <v>7</v>
      </c>
      <c r="G483">
        <v>174.27</v>
      </c>
      <c r="H483">
        <v>1219.8900000000001</v>
      </c>
      <c r="I483" t="s">
        <v>54</v>
      </c>
    </row>
    <row r="484" spans="1:9" x14ac:dyDescent="0.3">
      <c r="A484" s="1">
        <v>45990</v>
      </c>
      <c r="B484" t="s">
        <v>20</v>
      </c>
      <c r="C484" t="s">
        <v>15</v>
      </c>
      <c r="D484" t="s">
        <v>16</v>
      </c>
      <c r="E484" t="s">
        <v>11</v>
      </c>
      <c r="F484">
        <v>1</v>
      </c>
      <c r="G484">
        <v>422.17</v>
      </c>
      <c r="H484">
        <v>422.17</v>
      </c>
      <c r="I484" t="s">
        <v>54</v>
      </c>
    </row>
    <row r="485" spans="1:9" x14ac:dyDescent="0.3">
      <c r="A485" s="1">
        <v>45974</v>
      </c>
      <c r="B485" t="s">
        <v>14</v>
      </c>
      <c r="C485" t="s">
        <v>15</v>
      </c>
      <c r="D485" t="s">
        <v>16</v>
      </c>
      <c r="E485" t="s">
        <v>23</v>
      </c>
      <c r="F485">
        <v>3</v>
      </c>
      <c r="G485">
        <v>393.94</v>
      </c>
      <c r="H485">
        <v>1181.82</v>
      </c>
      <c r="I485" t="s">
        <v>54</v>
      </c>
    </row>
    <row r="486" spans="1:9" x14ac:dyDescent="0.3">
      <c r="A486" s="1">
        <v>45977</v>
      </c>
      <c r="B486" t="s">
        <v>20</v>
      </c>
      <c r="C486" t="s">
        <v>22</v>
      </c>
      <c r="D486" t="s">
        <v>10</v>
      </c>
      <c r="E486" t="s">
        <v>31</v>
      </c>
      <c r="F486">
        <v>3</v>
      </c>
      <c r="G486">
        <v>75.16</v>
      </c>
      <c r="H486">
        <v>225.48</v>
      </c>
      <c r="I486" t="s">
        <v>54</v>
      </c>
    </row>
    <row r="487" spans="1:9" x14ac:dyDescent="0.3">
      <c r="A487" s="1">
        <v>45967</v>
      </c>
      <c r="B487" t="s">
        <v>14</v>
      </c>
      <c r="C487" t="s">
        <v>15</v>
      </c>
      <c r="D487" t="s">
        <v>16</v>
      </c>
      <c r="E487" t="s">
        <v>11</v>
      </c>
      <c r="F487">
        <v>8</v>
      </c>
      <c r="G487">
        <v>406.75</v>
      </c>
      <c r="H487">
        <v>3254</v>
      </c>
      <c r="I487" t="s">
        <v>54</v>
      </c>
    </row>
    <row r="488" spans="1:9" x14ac:dyDescent="0.3">
      <c r="A488" s="1">
        <v>45987</v>
      </c>
      <c r="B488" t="s">
        <v>8</v>
      </c>
      <c r="C488" t="s">
        <v>25</v>
      </c>
      <c r="D488" t="s">
        <v>16</v>
      </c>
      <c r="E488" t="s">
        <v>11</v>
      </c>
      <c r="F488">
        <v>3</v>
      </c>
      <c r="G488">
        <v>174.72</v>
      </c>
      <c r="H488">
        <v>524.16</v>
      </c>
      <c r="I488" t="s">
        <v>54</v>
      </c>
    </row>
    <row r="489" spans="1:9" x14ac:dyDescent="0.3">
      <c r="A489" s="1">
        <v>45978</v>
      </c>
      <c r="B489" t="s">
        <v>8</v>
      </c>
      <c r="C489" t="s">
        <v>18</v>
      </c>
      <c r="D489" t="s">
        <v>19</v>
      </c>
      <c r="E489" t="s">
        <v>27</v>
      </c>
      <c r="F489">
        <v>2</v>
      </c>
      <c r="G489">
        <v>894.36</v>
      </c>
      <c r="H489">
        <v>1788.72</v>
      </c>
      <c r="I489" t="s">
        <v>54</v>
      </c>
    </row>
    <row r="490" spans="1:9" x14ac:dyDescent="0.3">
      <c r="A490" s="1">
        <v>45972</v>
      </c>
      <c r="B490" t="s">
        <v>8</v>
      </c>
      <c r="C490" t="s">
        <v>21</v>
      </c>
      <c r="D490" t="s">
        <v>10</v>
      </c>
      <c r="E490" t="s">
        <v>23</v>
      </c>
      <c r="F490">
        <v>1</v>
      </c>
      <c r="G490">
        <v>47.82</v>
      </c>
      <c r="H490">
        <v>47.82</v>
      </c>
      <c r="I490" t="s">
        <v>54</v>
      </c>
    </row>
    <row r="491" spans="1:9" x14ac:dyDescent="0.3">
      <c r="A491" s="1">
        <v>45971</v>
      </c>
      <c r="B491" t="s">
        <v>12</v>
      </c>
      <c r="C491" t="s">
        <v>18</v>
      </c>
      <c r="D491" t="s">
        <v>19</v>
      </c>
      <c r="E491" t="s">
        <v>11</v>
      </c>
      <c r="F491">
        <v>6</v>
      </c>
      <c r="G491">
        <v>948.42</v>
      </c>
      <c r="H491">
        <v>5690.52</v>
      </c>
      <c r="I491" t="s">
        <v>54</v>
      </c>
    </row>
    <row r="492" spans="1:9" x14ac:dyDescent="0.3">
      <c r="A492" s="1">
        <v>45974</v>
      </c>
      <c r="B492" t="s">
        <v>8</v>
      </c>
      <c r="C492" t="s">
        <v>18</v>
      </c>
      <c r="D492" t="s">
        <v>19</v>
      </c>
      <c r="E492" t="s">
        <v>28</v>
      </c>
      <c r="F492">
        <v>3</v>
      </c>
      <c r="G492">
        <v>833.25</v>
      </c>
      <c r="H492">
        <v>2499.75</v>
      </c>
      <c r="I492" t="s">
        <v>54</v>
      </c>
    </row>
    <row r="493" spans="1:9" x14ac:dyDescent="0.3">
      <c r="A493" s="1">
        <v>45972</v>
      </c>
      <c r="B493" t="s">
        <v>8</v>
      </c>
      <c r="C493" t="s">
        <v>21</v>
      </c>
      <c r="D493" t="s">
        <v>10</v>
      </c>
      <c r="E493" t="s">
        <v>28</v>
      </c>
      <c r="F493">
        <v>7</v>
      </c>
      <c r="G493">
        <v>47.45</v>
      </c>
      <c r="H493">
        <v>332.15</v>
      </c>
      <c r="I493" t="s">
        <v>54</v>
      </c>
    </row>
    <row r="494" spans="1:9" x14ac:dyDescent="0.3">
      <c r="A494" s="1">
        <v>45985</v>
      </c>
      <c r="B494" t="s">
        <v>20</v>
      </c>
      <c r="C494" t="s">
        <v>24</v>
      </c>
      <c r="D494" t="s">
        <v>19</v>
      </c>
      <c r="E494" t="s">
        <v>31</v>
      </c>
      <c r="F494">
        <v>1</v>
      </c>
      <c r="G494">
        <v>267.61</v>
      </c>
      <c r="H494">
        <v>267.61</v>
      </c>
      <c r="I494" t="s">
        <v>54</v>
      </c>
    </row>
    <row r="495" spans="1:9" x14ac:dyDescent="0.3">
      <c r="A495" s="1">
        <v>45962</v>
      </c>
      <c r="B495" t="s">
        <v>8</v>
      </c>
      <c r="C495" t="s">
        <v>25</v>
      </c>
      <c r="D495" t="s">
        <v>16</v>
      </c>
      <c r="E495" t="s">
        <v>26</v>
      </c>
      <c r="F495">
        <v>1</v>
      </c>
      <c r="G495">
        <v>183.24</v>
      </c>
      <c r="H495">
        <v>183.24</v>
      </c>
      <c r="I495" t="s">
        <v>54</v>
      </c>
    </row>
    <row r="496" spans="1:9" x14ac:dyDescent="0.3">
      <c r="A496" s="1">
        <v>45983</v>
      </c>
      <c r="B496" t="s">
        <v>14</v>
      </c>
      <c r="C496" t="s">
        <v>18</v>
      </c>
      <c r="D496" t="s">
        <v>19</v>
      </c>
      <c r="E496" t="s">
        <v>28</v>
      </c>
      <c r="F496">
        <v>7</v>
      </c>
      <c r="G496">
        <v>902.52</v>
      </c>
      <c r="H496">
        <v>6317.64</v>
      </c>
      <c r="I496" t="s">
        <v>54</v>
      </c>
    </row>
    <row r="497" spans="1:9" x14ac:dyDescent="0.3">
      <c r="A497" s="1">
        <v>45966</v>
      </c>
      <c r="B497" t="s">
        <v>8</v>
      </c>
      <c r="C497" t="s">
        <v>25</v>
      </c>
      <c r="D497" t="s">
        <v>16</v>
      </c>
      <c r="E497" t="s">
        <v>27</v>
      </c>
      <c r="F497">
        <v>2</v>
      </c>
      <c r="G497">
        <v>196.18</v>
      </c>
      <c r="H497">
        <v>392.36</v>
      </c>
      <c r="I497" t="s">
        <v>54</v>
      </c>
    </row>
    <row r="498" spans="1:9" x14ac:dyDescent="0.3">
      <c r="A498" s="1">
        <v>45971</v>
      </c>
      <c r="B498" t="s">
        <v>14</v>
      </c>
      <c r="C498" t="s">
        <v>15</v>
      </c>
      <c r="D498" t="s">
        <v>16</v>
      </c>
      <c r="E498" t="s">
        <v>28</v>
      </c>
      <c r="F498">
        <v>1</v>
      </c>
      <c r="G498">
        <v>380.66</v>
      </c>
      <c r="H498">
        <v>380.66</v>
      </c>
      <c r="I498" t="s">
        <v>54</v>
      </c>
    </row>
    <row r="499" spans="1:9" x14ac:dyDescent="0.3">
      <c r="A499" s="1">
        <v>45980</v>
      </c>
      <c r="B499" t="s">
        <v>8</v>
      </c>
      <c r="C499" t="s">
        <v>24</v>
      </c>
      <c r="D499" t="s">
        <v>19</v>
      </c>
      <c r="E499" t="s">
        <v>13</v>
      </c>
      <c r="F499">
        <v>3</v>
      </c>
      <c r="G499">
        <v>237.01</v>
      </c>
      <c r="H499">
        <v>711.03</v>
      </c>
      <c r="I499" t="s">
        <v>54</v>
      </c>
    </row>
    <row r="500" spans="1:9" x14ac:dyDescent="0.3">
      <c r="A500" s="1">
        <v>45573</v>
      </c>
      <c r="B500" t="s">
        <v>12</v>
      </c>
      <c r="C500" t="s">
        <v>18</v>
      </c>
      <c r="D500" t="s">
        <v>19</v>
      </c>
      <c r="E500" t="s">
        <v>17</v>
      </c>
      <c r="F500">
        <v>4</v>
      </c>
      <c r="G500">
        <v>917.76</v>
      </c>
      <c r="H500">
        <v>3671.04</v>
      </c>
      <c r="I500" t="s">
        <v>55</v>
      </c>
    </row>
    <row r="501" spans="1:9" x14ac:dyDescent="0.3">
      <c r="A501" s="1">
        <v>45576</v>
      </c>
      <c r="B501" t="s">
        <v>12</v>
      </c>
      <c r="C501" t="s">
        <v>29</v>
      </c>
      <c r="D501" t="s">
        <v>30</v>
      </c>
      <c r="E501" t="s">
        <v>23</v>
      </c>
      <c r="F501">
        <v>2</v>
      </c>
      <c r="G501">
        <v>326.88</v>
      </c>
      <c r="H501">
        <v>653.76</v>
      </c>
      <c r="I501" t="s">
        <v>55</v>
      </c>
    </row>
    <row r="502" spans="1:9" x14ac:dyDescent="0.3">
      <c r="A502" s="1">
        <v>45576</v>
      </c>
      <c r="B502" t="s">
        <v>8</v>
      </c>
      <c r="C502" t="s">
        <v>22</v>
      </c>
      <c r="D502" t="s">
        <v>10</v>
      </c>
      <c r="E502" t="s">
        <v>26</v>
      </c>
      <c r="F502">
        <v>3</v>
      </c>
      <c r="G502">
        <v>67.260000000000005</v>
      </c>
      <c r="H502">
        <v>201.78</v>
      </c>
      <c r="I502" t="s">
        <v>55</v>
      </c>
    </row>
    <row r="503" spans="1:9" x14ac:dyDescent="0.3">
      <c r="A503" s="1">
        <v>45592</v>
      </c>
      <c r="B503" t="s">
        <v>12</v>
      </c>
      <c r="C503" t="s">
        <v>29</v>
      </c>
      <c r="D503" t="s">
        <v>30</v>
      </c>
      <c r="E503" t="s">
        <v>23</v>
      </c>
      <c r="F503">
        <v>1</v>
      </c>
      <c r="G503">
        <v>347</v>
      </c>
      <c r="H503">
        <v>347</v>
      </c>
      <c r="I503" t="s">
        <v>55</v>
      </c>
    </row>
    <row r="504" spans="1:9" x14ac:dyDescent="0.3">
      <c r="A504" s="1">
        <v>45588</v>
      </c>
      <c r="B504" t="s">
        <v>12</v>
      </c>
      <c r="C504" t="s">
        <v>9</v>
      </c>
      <c r="D504" t="s">
        <v>10</v>
      </c>
      <c r="E504" t="s">
        <v>26</v>
      </c>
      <c r="F504">
        <v>3</v>
      </c>
      <c r="G504">
        <v>27.85</v>
      </c>
      <c r="H504">
        <v>83.55</v>
      </c>
      <c r="I504" t="s">
        <v>55</v>
      </c>
    </row>
    <row r="505" spans="1:9" x14ac:dyDescent="0.3">
      <c r="A505" s="1">
        <v>45576</v>
      </c>
      <c r="B505" t="s">
        <v>20</v>
      </c>
      <c r="C505" t="s">
        <v>9</v>
      </c>
      <c r="D505" t="s">
        <v>10</v>
      </c>
      <c r="E505" t="s">
        <v>26</v>
      </c>
      <c r="F505">
        <v>3</v>
      </c>
      <c r="G505">
        <v>28.19</v>
      </c>
      <c r="H505">
        <v>84.57</v>
      </c>
      <c r="I505" t="s">
        <v>55</v>
      </c>
    </row>
    <row r="506" spans="1:9" x14ac:dyDescent="0.3">
      <c r="A506" s="1">
        <v>45568</v>
      </c>
      <c r="B506" t="s">
        <v>14</v>
      </c>
      <c r="C506" t="s">
        <v>22</v>
      </c>
      <c r="D506" t="s">
        <v>10</v>
      </c>
      <c r="E506" t="s">
        <v>17</v>
      </c>
      <c r="F506">
        <v>8</v>
      </c>
      <c r="G506">
        <v>70.86</v>
      </c>
      <c r="H506">
        <v>566.88</v>
      </c>
      <c r="I506" t="s">
        <v>55</v>
      </c>
    </row>
    <row r="507" spans="1:9" x14ac:dyDescent="0.3">
      <c r="A507" s="1">
        <v>45566</v>
      </c>
      <c r="B507" t="s">
        <v>20</v>
      </c>
      <c r="C507" t="s">
        <v>24</v>
      </c>
      <c r="D507" t="s">
        <v>19</v>
      </c>
      <c r="E507" t="s">
        <v>28</v>
      </c>
      <c r="F507">
        <v>8</v>
      </c>
      <c r="G507">
        <v>237.46</v>
      </c>
      <c r="H507">
        <v>1899.68</v>
      </c>
      <c r="I507" t="s">
        <v>55</v>
      </c>
    </row>
    <row r="508" spans="1:9" x14ac:dyDescent="0.3">
      <c r="A508" s="1">
        <v>45592</v>
      </c>
      <c r="B508" t="s">
        <v>8</v>
      </c>
      <c r="C508" t="s">
        <v>15</v>
      </c>
      <c r="D508" t="s">
        <v>16</v>
      </c>
      <c r="E508" t="s">
        <v>17</v>
      </c>
      <c r="F508">
        <v>2</v>
      </c>
      <c r="G508">
        <v>379.01</v>
      </c>
      <c r="H508">
        <v>758.02</v>
      </c>
      <c r="I508" t="s">
        <v>55</v>
      </c>
    </row>
    <row r="509" spans="1:9" x14ac:dyDescent="0.3">
      <c r="A509" s="1">
        <v>45577</v>
      </c>
      <c r="B509" t="s">
        <v>20</v>
      </c>
      <c r="C509" t="s">
        <v>24</v>
      </c>
      <c r="D509" t="s">
        <v>19</v>
      </c>
      <c r="E509" t="s">
        <v>31</v>
      </c>
      <c r="F509">
        <v>1</v>
      </c>
      <c r="G509">
        <v>270.74</v>
      </c>
      <c r="H509">
        <v>270.74</v>
      </c>
      <c r="I509" t="s">
        <v>55</v>
      </c>
    </row>
    <row r="510" spans="1:9" x14ac:dyDescent="0.3">
      <c r="A510" s="1">
        <v>45577</v>
      </c>
      <c r="B510" t="s">
        <v>8</v>
      </c>
      <c r="C510" t="s">
        <v>22</v>
      </c>
      <c r="D510" t="s">
        <v>10</v>
      </c>
      <c r="E510" t="s">
        <v>13</v>
      </c>
      <c r="F510">
        <v>3</v>
      </c>
      <c r="G510">
        <v>75.459999999999994</v>
      </c>
      <c r="H510">
        <v>226.38</v>
      </c>
      <c r="I510" t="s">
        <v>55</v>
      </c>
    </row>
    <row r="511" spans="1:9" x14ac:dyDescent="0.3">
      <c r="A511" s="1">
        <v>45584</v>
      </c>
      <c r="B511" t="s">
        <v>8</v>
      </c>
      <c r="C511" t="s">
        <v>18</v>
      </c>
      <c r="D511" t="s">
        <v>19</v>
      </c>
      <c r="E511" t="s">
        <v>11</v>
      </c>
      <c r="F511">
        <v>5</v>
      </c>
      <c r="G511">
        <v>902.93</v>
      </c>
      <c r="H511">
        <v>4514.6499999999996</v>
      </c>
      <c r="I511" t="s">
        <v>55</v>
      </c>
    </row>
    <row r="512" spans="1:9" x14ac:dyDescent="0.3">
      <c r="A512" s="1">
        <v>45595</v>
      </c>
      <c r="B512" t="s">
        <v>8</v>
      </c>
      <c r="C512" t="s">
        <v>29</v>
      </c>
      <c r="D512" t="s">
        <v>30</v>
      </c>
      <c r="E512" t="s">
        <v>28</v>
      </c>
      <c r="F512">
        <v>6</v>
      </c>
      <c r="G512">
        <v>341.5</v>
      </c>
      <c r="H512">
        <v>2049</v>
      </c>
      <c r="I512" t="s">
        <v>55</v>
      </c>
    </row>
    <row r="513" spans="1:9" x14ac:dyDescent="0.3">
      <c r="A513" s="1">
        <v>45583</v>
      </c>
      <c r="B513" t="s">
        <v>14</v>
      </c>
      <c r="C513" t="s">
        <v>21</v>
      </c>
      <c r="D513" t="s">
        <v>10</v>
      </c>
      <c r="E513" t="s">
        <v>31</v>
      </c>
      <c r="F513">
        <v>7</v>
      </c>
      <c r="G513">
        <v>46.77</v>
      </c>
      <c r="H513">
        <v>327.39</v>
      </c>
      <c r="I513" t="s">
        <v>55</v>
      </c>
    </row>
    <row r="514" spans="1:9" x14ac:dyDescent="0.3">
      <c r="A514" s="1">
        <v>45570</v>
      </c>
      <c r="B514" t="s">
        <v>14</v>
      </c>
      <c r="C514" t="s">
        <v>18</v>
      </c>
      <c r="D514" t="s">
        <v>19</v>
      </c>
      <c r="E514" t="s">
        <v>31</v>
      </c>
      <c r="F514">
        <v>2</v>
      </c>
      <c r="G514">
        <v>900.95</v>
      </c>
      <c r="H514">
        <v>1801.9</v>
      </c>
      <c r="I514" t="s">
        <v>55</v>
      </c>
    </row>
    <row r="515" spans="1:9" x14ac:dyDescent="0.3">
      <c r="A515" s="1">
        <v>45580</v>
      </c>
      <c r="B515" t="s">
        <v>20</v>
      </c>
      <c r="C515" t="s">
        <v>22</v>
      </c>
      <c r="D515" t="s">
        <v>10</v>
      </c>
      <c r="E515" t="s">
        <v>23</v>
      </c>
      <c r="F515">
        <v>4</v>
      </c>
      <c r="G515">
        <v>74.569999999999993</v>
      </c>
      <c r="H515">
        <v>298.27999999999997</v>
      </c>
      <c r="I515" t="s">
        <v>55</v>
      </c>
    </row>
    <row r="516" spans="1:9" x14ac:dyDescent="0.3">
      <c r="A516" s="1">
        <v>45575</v>
      </c>
      <c r="B516" t="s">
        <v>14</v>
      </c>
      <c r="C516" t="s">
        <v>15</v>
      </c>
      <c r="D516" t="s">
        <v>16</v>
      </c>
      <c r="E516" t="s">
        <v>13</v>
      </c>
      <c r="F516">
        <v>3</v>
      </c>
      <c r="G516">
        <v>413.8</v>
      </c>
      <c r="H516">
        <v>1241.4000000000001</v>
      </c>
      <c r="I516" t="s">
        <v>55</v>
      </c>
    </row>
    <row r="517" spans="1:9" x14ac:dyDescent="0.3">
      <c r="A517" s="1">
        <v>45577</v>
      </c>
      <c r="B517" t="s">
        <v>12</v>
      </c>
      <c r="C517" t="s">
        <v>29</v>
      </c>
      <c r="D517" t="s">
        <v>30</v>
      </c>
      <c r="E517" t="s">
        <v>26</v>
      </c>
      <c r="F517">
        <v>2</v>
      </c>
      <c r="G517">
        <v>348.83</v>
      </c>
      <c r="H517">
        <v>697.66</v>
      </c>
      <c r="I517" t="s">
        <v>55</v>
      </c>
    </row>
    <row r="518" spans="1:9" x14ac:dyDescent="0.3">
      <c r="A518" s="1">
        <v>45577</v>
      </c>
      <c r="B518" t="s">
        <v>8</v>
      </c>
      <c r="C518" t="s">
        <v>24</v>
      </c>
      <c r="D518" t="s">
        <v>19</v>
      </c>
      <c r="E518" t="s">
        <v>28</v>
      </c>
      <c r="F518">
        <v>5</v>
      </c>
      <c r="G518">
        <v>247.78</v>
      </c>
      <c r="H518">
        <v>1238.9000000000001</v>
      </c>
      <c r="I518" t="s">
        <v>55</v>
      </c>
    </row>
    <row r="519" spans="1:9" x14ac:dyDescent="0.3">
      <c r="A519" s="1">
        <v>45594</v>
      </c>
      <c r="B519" t="s">
        <v>20</v>
      </c>
      <c r="C519" t="s">
        <v>24</v>
      </c>
      <c r="D519" t="s">
        <v>19</v>
      </c>
      <c r="E519" t="s">
        <v>27</v>
      </c>
      <c r="F519">
        <v>4</v>
      </c>
      <c r="G519">
        <v>255.91</v>
      </c>
      <c r="H519">
        <v>1023.64</v>
      </c>
      <c r="I519" t="s">
        <v>55</v>
      </c>
    </row>
    <row r="520" spans="1:9" x14ac:dyDescent="0.3">
      <c r="A520" s="1">
        <v>45585</v>
      </c>
      <c r="B520" t="s">
        <v>14</v>
      </c>
      <c r="C520" t="s">
        <v>21</v>
      </c>
      <c r="D520" t="s">
        <v>10</v>
      </c>
      <c r="E520" t="s">
        <v>17</v>
      </c>
      <c r="F520">
        <v>1</v>
      </c>
      <c r="G520">
        <v>46.84</v>
      </c>
      <c r="H520">
        <v>46.84</v>
      </c>
      <c r="I520" t="s">
        <v>55</v>
      </c>
    </row>
    <row r="521" spans="1:9" x14ac:dyDescent="0.3">
      <c r="A521" s="1">
        <v>45582</v>
      </c>
      <c r="B521" t="s">
        <v>20</v>
      </c>
      <c r="C521" t="s">
        <v>9</v>
      </c>
      <c r="D521" t="s">
        <v>10</v>
      </c>
      <c r="E521" t="s">
        <v>17</v>
      </c>
      <c r="F521">
        <v>8</v>
      </c>
      <c r="G521">
        <v>32.56</v>
      </c>
      <c r="H521">
        <v>260.48</v>
      </c>
      <c r="I521" t="s">
        <v>55</v>
      </c>
    </row>
    <row r="522" spans="1:9" x14ac:dyDescent="0.3">
      <c r="A522" s="1">
        <v>45946</v>
      </c>
      <c r="B522" t="s">
        <v>8</v>
      </c>
      <c r="C522" t="s">
        <v>9</v>
      </c>
      <c r="D522" t="s">
        <v>10</v>
      </c>
      <c r="E522" t="s">
        <v>11</v>
      </c>
      <c r="F522">
        <v>7</v>
      </c>
      <c r="G522">
        <v>29.25</v>
      </c>
      <c r="H522">
        <v>204.75</v>
      </c>
      <c r="I522" t="s">
        <v>56</v>
      </c>
    </row>
    <row r="523" spans="1:9" x14ac:dyDescent="0.3">
      <c r="A523" s="1">
        <v>45957</v>
      </c>
      <c r="B523" t="s">
        <v>8</v>
      </c>
      <c r="C523" t="s">
        <v>15</v>
      </c>
      <c r="D523" t="s">
        <v>16</v>
      </c>
      <c r="E523" t="s">
        <v>23</v>
      </c>
      <c r="F523">
        <v>5</v>
      </c>
      <c r="G523">
        <v>389.31</v>
      </c>
      <c r="H523">
        <v>1946.55</v>
      </c>
      <c r="I523" t="s">
        <v>56</v>
      </c>
    </row>
    <row r="524" spans="1:9" x14ac:dyDescent="0.3">
      <c r="A524" s="1">
        <v>45935</v>
      </c>
      <c r="B524" t="s">
        <v>12</v>
      </c>
      <c r="C524" t="s">
        <v>21</v>
      </c>
      <c r="D524" t="s">
        <v>10</v>
      </c>
      <c r="E524" t="s">
        <v>27</v>
      </c>
      <c r="F524">
        <v>8</v>
      </c>
      <c r="G524">
        <v>41.3</v>
      </c>
      <c r="H524">
        <v>330.4</v>
      </c>
      <c r="I524" t="s">
        <v>56</v>
      </c>
    </row>
    <row r="525" spans="1:9" x14ac:dyDescent="0.3">
      <c r="A525" s="1">
        <v>45942</v>
      </c>
      <c r="B525" t="s">
        <v>12</v>
      </c>
      <c r="C525" t="s">
        <v>29</v>
      </c>
      <c r="D525" t="s">
        <v>30</v>
      </c>
      <c r="E525" t="s">
        <v>17</v>
      </c>
      <c r="F525">
        <v>8</v>
      </c>
      <c r="G525">
        <v>340.19</v>
      </c>
      <c r="H525">
        <v>2721.52</v>
      </c>
      <c r="I525" t="s">
        <v>56</v>
      </c>
    </row>
    <row r="526" spans="1:9" x14ac:dyDescent="0.3">
      <c r="A526" s="1">
        <v>45955</v>
      </c>
      <c r="B526" t="s">
        <v>12</v>
      </c>
      <c r="C526" t="s">
        <v>18</v>
      </c>
      <c r="D526" t="s">
        <v>19</v>
      </c>
      <c r="E526" t="s">
        <v>28</v>
      </c>
      <c r="F526">
        <v>8</v>
      </c>
      <c r="G526">
        <v>821.44</v>
      </c>
      <c r="H526">
        <v>6571.52</v>
      </c>
      <c r="I526" t="s">
        <v>56</v>
      </c>
    </row>
    <row r="527" spans="1:9" x14ac:dyDescent="0.3">
      <c r="A527" s="1">
        <v>45942</v>
      </c>
      <c r="B527" t="s">
        <v>8</v>
      </c>
      <c r="C527" t="s">
        <v>9</v>
      </c>
      <c r="D527" t="s">
        <v>10</v>
      </c>
      <c r="E527" t="s">
        <v>17</v>
      </c>
      <c r="F527">
        <v>6</v>
      </c>
      <c r="G527">
        <v>31.38</v>
      </c>
      <c r="H527">
        <v>188.28</v>
      </c>
      <c r="I527" t="s">
        <v>56</v>
      </c>
    </row>
    <row r="528" spans="1:9" x14ac:dyDescent="0.3">
      <c r="A528" s="1">
        <v>45947</v>
      </c>
      <c r="B528" t="s">
        <v>14</v>
      </c>
      <c r="C528" t="s">
        <v>21</v>
      </c>
      <c r="D528" t="s">
        <v>10</v>
      </c>
      <c r="E528" t="s">
        <v>26</v>
      </c>
      <c r="F528">
        <v>7</v>
      </c>
      <c r="G528">
        <v>47.44</v>
      </c>
      <c r="H528">
        <v>332.08</v>
      </c>
      <c r="I528" t="s">
        <v>56</v>
      </c>
    </row>
    <row r="529" spans="1:9" x14ac:dyDescent="0.3">
      <c r="A529" s="1">
        <v>45950</v>
      </c>
      <c r="B529" t="s">
        <v>14</v>
      </c>
      <c r="C529" t="s">
        <v>24</v>
      </c>
      <c r="D529" t="s">
        <v>19</v>
      </c>
      <c r="E529" t="s">
        <v>17</v>
      </c>
      <c r="F529">
        <v>7</v>
      </c>
      <c r="G529">
        <v>256.67</v>
      </c>
      <c r="H529">
        <v>1796.69</v>
      </c>
      <c r="I529" t="s">
        <v>56</v>
      </c>
    </row>
    <row r="530" spans="1:9" x14ac:dyDescent="0.3">
      <c r="A530" s="1">
        <v>45934</v>
      </c>
      <c r="B530" t="s">
        <v>20</v>
      </c>
      <c r="C530" t="s">
        <v>24</v>
      </c>
      <c r="D530" t="s">
        <v>19</v>
      </c>
      <c r="E530" t="s">
        <v>11</v>
      </c>
      <c r="F530">
        <v>8</v>
      </c>
      <c r="G530">
        <v>250.94</v>
      </c>
      <c r="H530">
        <v>2007.52</v>
      </c>
      <c r="I530" t="s">
        <v>56</v>
      </c>
    </row>
    <row r="531" spans="1:9" x14ac:dyDescent="0.3">
      <c r="A531" s="1">
        <v>45948</v>
      </c>
      <c r="B531" t="s">
        <v>12</v>
      </c>
      <c r="C531" t="s">
        <v>22</v>
      </c>
      <c r="D531" t="s">
        <v>10</v>
      </c>
      <c r="E531" t="s">
        <v>17</v>
      </c>
      <c r="F531">
        <v>6</v>
      </c>
      <c r="G531">
        <v>66.39</v>
      </c>
      <c r="H531">
        <v>398.34</v>
      </c>
      <c r="I531" t="s">
        <v>56</v>
      </c>
    </row>
    <row r="532" spans="1:9" x14ac:dyDescent="0.3">
      <c r="A532" s="1">
        <v>45932</v>
      </c>
      <c r="B532" t="s">
        <v>14</v>
      </c>
      <c r="C532" t="s">
        <v>24</v>
      </c>
      <c r="D532" t="s">
        <v>19</v>
      </c>
      <c r="E532" t="s">
        <v>27</v>
      </c>
      <c r="F532">
        <v>6</v>
      </c>
      <c r="G532">
        <v>227.04</v>
      </c>
      <c r="H532">
        <v>1362.24</v>
      </c>
      <c r="I532" t="s">
        <v>56</v>
      </c>
    </row>
    <row r="533" spans="1:9" x14ac:dyDescent="0.3">
      <c r="A533" s="1">
        <v>45946</v>
      </c>
      <c r="B533" t="s">
        <v>20</v>
      </c>
      <c r="C533" t="s">
        <v>15</v>
      </c>
      <c r="D533" t="s">
        <v>16</v>
      </c>
      <c r="E533" t="s">
        <v>23</v>
      </c>
      <c r="F533">
        <v>1</v>
      </c>
      <c r="G533">
        <v>414.21</v>
      </c>
      <c r="H533">
        <v>414.21</v>
      </c>
      <c r="I533" t="s">
        <v>56</v>
      </c>
    </row>
    <row r="534" spans="1:9" x14ac:dyDescent="0.3">
      <c r="A534" s="1">
        <v>45957</v>
      </c>
      <c r="B534" t="s">
        <v>8</v>
      </c>
      <c r="C534" t="s">
        <v>29</v>
      </c>
      <c r="D534" t="s">
        <v>30</v>
      </c>
      <c r="E534" t="s">
        <v>28</v>
      </c>
      <c r="F534">
        <v>7</v>
      </c>
      <c r="G534">
        <v>333.58</v>
      </c>
      <c r="H534">
        <v>2335.06</v>
      </c>
      <c r="I534" t="s">
        <v>56</v>
      </c>
    </row>
    <row r="535" spans="1:9" x14ac:dyDescent="0.3">
      <c r="A535" s="1">
        <v>45938</v>
      </c>
      <c r="B535" t="s">
        <v>20</v>
      </c>
      <c r="C535" t="s">
        <v>24</v>
      </c>
      <c r="D535" t="s">
        <v>19</v>
      </c>
      <c r="E535" t="s">
        <v>13</v>
      </c>
      <c r="F535">
        <v>2</v>
      </c>
      <c r="G535">
        <v>249.63</v>
      </c>
      <c r="H535">
        <v>499.26</v>
      </c>
      <c r="I535" t="s">
        <v>56</v>
      </c>
    </row>
    <row r="536" spans="1:9" x14ac:dyDescent="0.3">
      <c r="A536" s="1">
        <v>45961</v>
      </c>
      <c r="B536" t="s">
        <v>12</v>
      </c>
      <c r="C536" t="s">
        <v>25</v>
      </c>
      <c r="D536" t="s">
        <v>16</v>
      </c>
      <c r="E536" t="s">
        <v>28</v>
      </c>
      <c r="F536">
        <v>2</v>
      </c>
      <c r="G536">
        <v>188.67</v>
      </c>
      <c r="H536">
        <v>377.34</v>
      </c>
      <c r="I536" t="s">
        <v>56</v>
      </c>
    </row>
    <row r="537" spans="1:9" x14ac:dyDescent="0.3">
      <c r="A537" s="1">
        <v>45953</v>
      </c>
      <c r="B537" t="s">
        <v>8</v>
      </c>
      <c r="C537" t="s">
        <v>29</v>
      </c>
      <c r="D537" t="s">
        <v>30</v>
      </c>
      <c r="E537" t="s">
        <v>11</v>
      </c>
      <c r="F537">
        <v>5</v>
      </c>
      <c r="G537">
        <v>332.61</v>
      </c>
      <c r="H537">
        <v>1663.05</v>
      </c>
      <c r="I537" t="s">
        <v>56</v>
      </c>
    </row>
    <row r="538" spans="1:9" x14ac:dyDescent="0.3">
      <c r="A538" s="1">
        <v>45959</v>
      </c>
      <c r="B538" t="s">
        <v>8</v>
      </c>
      <c r="C538" t="s">
        <v>25</v>
      </c>
      <c r="D538" t="s">
        <v>16</v>
      </c>
      <c r="E538" t="s">
        <v>17</v>
      </c>
      <c r="F538">
        <v>2</v>
      </c>
      <c r="G538">
        <v>172.32</v>
      </c>
      <c r="H538">
        <v>344.64</v>
      </c>
      <c r="I538" t="s">
        <v>56</v>
      </c>
    </row>
    <row r="539" spans="1:9" x14ac:dyDescent="0.3">
      <c r="A539" s="1">
        <v>45952</v>
      </c>
      <c r="B539" t="s">
        <v>20</v>
      </c>
      <c r="C539" t="s">
        <v>29</v>
      </c>
      <c r="D539" t="s">
        <v>30</v>
      </c>
      <c r="E539" t="s">
        <v>27</v>
      </c>
      <c r="F539">
        <v>6</v>
      </c>
      <c r="G539">
        <v>329.17</v>
      </c>
      <c r="H539">
        <v>1975.02</v>
      </c>
      <c r="I539" t="s">
        <v>56</v>
      </c>
    </row>
    <row r="540" spans="1:9" x14ac:dyDescent="0.3">
      <c r="A540" s="1">
        <v>45961</v>
      </c>
      <c r="B540" t="s">
        <v>8</v>
      </c>
      <c r="C540" t="s">
        <v>9</v>
      </c>
      <c r="D540" t="s">
        <v>10</v>
      </c>
      <c r="E540" t="s">
        <v>17</v>
      </c>
      <c r="F540">
        <v>1</v>
      </c>
      <c r="G540">
        <v>31.5</v>
      </c>
      <c r="H540">
        <v>31.5</v>
      </c>
      <c r="I540" t="s">
        <v>56</v>
      </c>
    </row>
    <row r="541" spans="1:9" x14ac:dyDescent="0.3">
      <c r="A541" s="1">
        <v>45941</v>
      </c>
      <c r="B541" t="s">
        <v>14</v>
      </c>
      <c r="C541" t="s">
        <v>22</v>
      </c>
      <c r="D541" t="s">
        <v>10</v>
      </c>
      <c r="E541" t="s">
        <v>28</v>
      </c>
      <c r="F541">
        <v>6</v>
      </c>
      <c r="G541">
        <v>64.28</v>
      </c>
      <c r="H541">
        <v>385.68</v>
      </c>
      <c r="I541" t="s">
        <v>56</v>
      </c>
    </row>
    <row r="542" spans="1:9" x14ac:dyDescent="0.3">
      <c r="A542" s="1">
        <v>45941</v>
      </c>
      <c r="B542" t="s">
        <v>14</v>
      </c>
      <c r="C542" t="s">
        <v>21</v>
      </c>
      <c r="D542" t="s">
        <v>10</v>
      </c>
      <c r="E542" t="s">
        <v>27</v>
      </c>
      <c r="F542">
        <v>8</v>
      </c>
      <c r="G542">
        <v>43.14</v>
      </c>
      <c r="H542">
        <v>345.12</v>
      </c>
      <c r="I542" t="s">
        <v>56</v>
      </c>
    </row>
    <row r="543" spans="1:9" x14ac:dyDescent="0.3">
      <c r="A543" s="1">
        <v>45944</v>
      </c>
      <c r="B543" t="s">
        <v>12</v>
      </c>
      <c r="C543" t="s">
        <v>15</v>
      </c>
      <c r="D543" t="s">
        <v>16</v>
      </c>
      <c r="E543" t="s">
        <v>13</v>
      </c>
      <c r="F543">
        <v>3</v>
      </c>
      <c r="G543">
        <v>399.55</v>
      </c>
      <c r="H543">
        <v>1198.6500000000001</v>
      </c>
      <c r="I543" t="s">
        <v>56</v>
      </c>
    </row>
    <row r="544" spans="1:9" x14ac:dyDescent="0.3">
      <c r="A544" s="1">
        <v>45948</v>
      </c>
      <c r="B544" t="s">
        <v>14</v>
      </c>
      <c r="C544" t="s">
        <v>25</v>
      </c>
      <c r="D544" t="s">
        <v>16</v>
      </c>
      <c r="E544" t="s">
        <v>23</v>
      </c>
      <c r="F544">
        <v>8</v>
      </c>
      <c r="G544">
        <v>171.99</v>
      </c>
      <c r="H544">
        <v>1375.92</v>
      </c>
      <c r="I544" t="s">
        <v>56</v>
      </c>
    </row>
    <row r="545" spans="1:9" x14ac:dyDescent="0.3">
      <c r="A545" s="1">
        <v>45940</v>
      </c>
      <c r="B545" t="s">
        <v>12</v>
      </c>
      <c r="C545" t="s">
        <v>18</v>
      </c>
      <c r="D545" t="s">
        <v>19</v>
      </c>
      <c r="E545" t="s">
        <v>11</v>
      </c>
      <c r="F545">
        <v>6</v>
      </c>
      <c r="G545">
        <v>892.64</v>
      </c>
      <c r="H545">
        <v>5355.84</v>
      </c>
      <c r="I545" t="s">
        <v>56</v>
      </c>
    </row>
    <row r="546" spans="1:9" x14ac:dyDescent="0.3">
      <c r="A546" s="1">
        <v>45936</v>
      </c>
      <c r="B546" t="s">
        <v>14</v>
      </c>
      <c r="C546" t="s">
        <v>15</v>
      </c>
      <c r="D546" t="s">
        <v>16</v>
      </c>
      <c r="E546" t="s">
        <v>13</v>
      </c>
      <c r="F546">
        <v>8</v>
      </c>
      <c r="G546">
        <v>375.38</v>
      </c>
      <c r="H546">
        <v>3003.04</v>
      </c>
      <c r="I546" t="s">
        <v>56</v>
      </c>
    </row>
    <row r="547" spans="1:9" x14ac:dyDescent="0.3">
      <c r="A547" s="1">
        <v>45542</v>
      </c>
      <c r="B547" t="s">
        <v>20</v>
      </c>
      <c r="C547" t="s">
        <v>21</v>
      </c>
      <c r="D547" t="s">
        <v>10</v>
      </c>
      <c r="E547" t="s">
        <v>17</v>
      </c>
      <c r="F547">
        <v>8</v>
      </c>
      <c r="G547">
        <v>41.9</v>
      </c>
      <c r="H547">
        <v>335.2</v>
      </c>
      <c r="I547" t="s">
        <v>57</v>
      </c>
    </row>
    <row r="548" spans="1:9" x14ac:dyDescent="0.3">
      <c r="A548" s="1">
        <v>45562</v>
      </c>
      <c r="B548" t="s">
        <v>20</v>
      </c>
      <c r="C548" t="s">
        <v>9</v>
      </c>
      <c r="D548" t="s">
        <v>10</v>
      </c>
      <c r="E548" t="s">
        <v>17</v>
      </c>
      <c r="F548">
        <v>5</v>
      </c>
      <c r="G548">
        <v>30.12</v>
      </c>
      <c r="H548">
        <v>150.6</v>
      </c>
      <c r="I548" t="s">
        <v>57</v>
      </c>
    </row>
    <row r="549" spans="1:9" x14ac:dyDescent="0.3">
      <c r="A549" s="1">
        <v>45565</v>
      </c>
      <c r="B549" t="s">
        <v>8</v>
      </c>
      <c r="C549" t="s">
        <v>22</v>
      </c>
      <c r="D549" t="s">
        <v>10</v>
      </c>
      <c r="E549" t="s">
        <v>28</v>
      </c>
      <c r="F549">
        <v>6</v>
      </c>
      <c r="G549">
        <v>75.08</v>
      </c>
      <c r="H549">
        <v>450.48</v>
      </c>
      <c r="I549" t="s">
        <v>57</v>
      </c>
    </row>
    <row r="550" spans="1:9" x14ac:dyDescent="0.3">
      <c r="A550" s="1">
        <v>45542</v>
      </c>
      <c r="B550" t="s">
        <v>14</v>
      </c>
      <c r="C550" t="s">
        <v>18</v>
      </c>
      <c r="D550" t="s">
        <v>19</v>
      </c>
      <c r="E550" t="s">
        <v>23</v>
      </c>
      <c r="F550">
        <v>4</v>
      </c>
      <c r="G550">
        <v>895</v>
      </c>
      <c r="H550">
        <v>3580</v>
      </c>
      <c r="I550" t="s">
        <v>57</v>
      </c>
    </row>
    <row r="551" spans="1:9" x14ac:dyDescent="0.3">
      <c r="A551" s="1">
        <v>45563</v>
      </c>
      <c r="B551" t="s">
        <v>12</v>
      </c>
      <c r="C551" t="s">
        <v>29</v>
      </c>
      <c r="D551" t="s">
        <v>30</v>
      </c>
      <c r="E551" t="s">
        <v>17</v>
      </c>
      <c r="F551">
        <v>3</v>
      </c>
      <c r="G551">
        <v>299.94</v>
      </c>
      <c r="H551">
        <v>899.82</v>
      </c>
      <c r="I551" t="s">
        <v>57</v>
      </c>
    </row>
    <row r="552" spans="1:9" x14ac:dyDescent="0.3">
      <c r="A552" s="1">
        <v>45544</v>
      </c>
      <c r="B552" t="s">
        <v>14</v>
      </c>
      <c r="C552" t="s">
        <v>22</v>
      </c>
      <c r="D552" t="s">
        <v>10</v>
      </c>
      <c r="E552" t="s">
        <v>11</v>
      </c>
      <c r="F552">
        <v>5</v>
      </c>
      <c r="G552">
        <v>70.55</v>
      </c>
      <c r="H552">
        <v>352.75</v>
      </c>
      <c r="I552" t="s">
        <v>57</v>
      </c>
    </row>
    <row r="553" spans="1:9" x14ac:dyDescent="0.3">
      <c r="A553" s="1">
        <v>45561</v>
      </c>
      <c r="B553" t="s">
        <v>12</v>
      </c>
      <c r="C553" t="s">
        <v>15</v>
      </c>
      <c r="D553" t="s">
        <v>16</v>
      </c>
      <c r="E553" t="s">
        <v>27</v>
      </c>
      <c r="F553">
        <v>5</v>
      </c>
      <c r="G553">
        <v>385.44</v>
      </c>
      <c r="H553">
        <v>1927.2</v>
      </c>
      <c r="I553" t="s">
        <v>57</v>
      </c>
    </row>
    <row r="554" spans="1:9" x14ac:dyDescent="0.3">
      <c r="A554" s="1">
        <v>45549</v>
      </c>
      <c r="B554" t="s">
        <v>14</v>
      </c>
      <c r="C554" t="s">
        <v>25</v>
      </c>
      <c r="D554" t="s">
        <v>16</v>
      </c>
      <c r="E554" t="s">
        <v>31</v>
      </c>
      <c r="F554">
        <v>4</v>
      </c>
      <c r="G554">
        <v>180.1</v>
      </c>
      <c r="H554">
        <v>720.4</v>
      </c>
      <c r="I554" t="s">
        <v>57</v>
      </c>
    </row>
    <row r="555" spans="1:9" x14ac:dyDescent="0.3">
      <c r="A555" s="1">
        <v>45565</v>
      </c>
      <c r="B555" t="s">
        <v>12</v>
      </c>
      <c r="C555" t="s">
        <v>15</v>
      </c>
      <c r="D555" t="s">
        <v>16</v>
      </c>
      <c r="E555" t="s">
        <v>17</v>
      </c>
      <c r="F555">
        <v>2</v>
      </c>
      <c r="G555">
        <v>438.85</v>
      </c>
      <c r="H555">
        <v>877.7</v>
      </c>
      <c r="I555" t="s">
        <v>57</v>
      </c>
    </row>
    <row r="556" spans="1:9" x14ac:dyDescent="0.3">
      <c r="A556" s="1">
        <v>45561</v>
      </c>
      <c r="B556" t="s">
        <v>8</v>
      </c>
      <c r="C556" t="s">
        <v>22</v>
      </c>
      <c r="D556" t="s">
        <v>10</v>
      </c>
      <c r="E556" t="s">
        <v>28</v>
      </c>
      <c r="F556">
        <v>4</v>
      </c>
      <c r="G556">
        <v>70.5</v>
      </c>
      <c r="H556">
        <v>282</v>
      </c>
      <c r="I556" t="s">
        <v>57</v>
      </c>
    </row>
    <row r="557" spans="1:9" x14ac:dyDescent="0.3">
      <c r="A557" s="1">
        <v>45537</v>
      </c>
      <c r="B557" t="s">
        <v>14</v>
      </c>
      <c r="C557" t="s">
        <v>9</v>
      </c>
      <c r="D557" t="s">
        <v>10</v>
      </c>
      <c r="E557" t="s">
        <v>26</v>
      </c>
      <c r="F557">
        <v>5</v>
      </c>
      <c r="G557">
        <v>30.33</v>
      </c>
      <c r="H557">
        <v>151.65</v>
      </c>
      <c r="I557" t="s">
        <v>57</v>
      </c>
    </row>
    <row r="558" spans="1:9" x14ac:dyDescent="0.3">
      <c r="A558" s="1">
        <v>45538</v>
      </c>
      <c r="B558" t="s">
        <v>8</v>
      </c>
      <c r="C558" t="s">
        <v>18</v>
      </c>
      <c r="D558" t="s">
        <v>19</v>
      </c>
      <c r="E558" t="s">
        <v>26</v>
      </c>
      <c r="F558">
        <v>8</v>
      </c>
      <c r="G558">
        <v>853.53</v>
      </c>
      <c r="H558">
        <v>6828.24</v>
      </c>
      <c r="I558" t="s">
        <v>57</v>
      </c>
    </row>
    <row r="559" spans="1:9" x14ac:dyDescent="0.3">
      <c r="A559" s="1">
        <v>45563</v>
      </c>
      <c r="B559" t="s">
        <v>14</v>
      </c>
      <c r="C559" t="s">
        <v>21</v>
      </c>
      <c r="D559" t="s">
        <v>10</v>
      </c>
      <c r="E559" t="s">
        <v>17</v>
      </c>
      <c r="F559">
        <v>2</v>
      </c>
      <c r="G559">
        <v>41.95</v>
      </c>
      <c r="H559">
        <v>83.9</v>
      </c>
      <c r="I559" t="s">
        <v>57</v>
      </c>
    </row>
    <row r="560" spans="1:9" x14ac:dyDescent="0.3">
      <c r="A560" s="1">
        <v>45545</v>
      </c>
      <c r="B560" t="s">
        <v>8</v>
      </c>
      <c r="C560" t="s">
        <v>21</v>
      </c>
      <c r="D560" t="s">
        <v>10</v>
      </c>
      <c r="E560" t="s">
        <v>28</v>
      </c>
      <c r="F560">
        <v>2</v>
      </c>
      <c r="G560">
        <v>46.42</v>
      </c>
      <c r="H560">
        <v>92.84</v>
      </c>
      <c r="I560" t="s">
        <v>57</v>
      </c>
    </row>
    <row r="561" spans="1:9" x14ac:dyDescent="0.3">
      <c r="A561" s="1">
        <v>45540</v>
      </c>
      <c r="B561" t="s">
        <v>12</v>
      </c>
      <c r="C561" t="s">
        <v>25</v>
      </c>
      <c r="D561" t="s">
        <v>16</v>
      </c>
      <c r="E561" t="s">
        <v>28</v>
      </c>
      <c r="F561">
        <v>5</v>
      </c>
      <c r="G561">
        <v>175.86</v>
      </c>
      <c r="H561">
        <v>879.3</v>
      </c>
      <c r="I561" t="s">
        <v>57</v>
      </c>
    </row>
    <row r="562" spans="1:9" x14ac:dyDescent="0.3">
      <c r="A562" s="1">
        <v>45546</v>
      </c>
      <c r="B562" t="s">
        <v>8</v>
      </c>
      <c r="C562" t="s">
        <v>25</v>
      </c>
      <c r="D562" t="s">
        <v>16</v>
      </c>
      <c r="E562" t="s">
        <v>27</v>
      </c>
      <c r="F562">
        <v>6</v>
      </c>
      <c r="G562">
        <v>193.21</v>
      </c>
      <c r="H562">
        <v>1159.26</v>
      </c>
      <c r="I562" t="s">
        <v>57</v>
      </c>
    </row>
    <row r="563" spans="1:9" x14ac:dyDescent="0.3">
      <c r="A563" s="1">
        <v>45547</v>
      </c>
      <c r="B563" t="s">
        <v>14</v>
      </c>
      <c r="C563" t="s">
        <v>29</v>
      </c>
      <c r="D563" t="s">
        <v>30</v>
      </c>
      <c r="E563" t="s">
        <v>28</v>
      </c>
      <c r="F563">
        <v>3</v>
      </c>
      <c r="G563">
        <v>312.04000000000002</v>
      </c>
      <c r="H563">
        <v>936.12</v>
      </c>
      <c r="I563" t="s">
        <v>57</v>
      </c>
    </row>
    <row r="564" spans="1:9" x14ac:dyDescent="0.3">
      <c r="A564" s="1">
        <v>45563</v>
      </c>
      <c r="B564" t="s">
        <v>12</v>
      </c>
      <c r="C564" t="s">
        <v>9</v>
      </c>
      <c r="D564" t="s">
        <v>10</v>
      </c>
      <c r="E564" t="s">
        <v>23</v>
      </c>
      <c r="F564">
        <v>8</v>
      </c>
      <c r="G564">
        <v>31.36</v>
      </c>
      <c r="H564">
        <v>250.88</v>
      </c>
      <c r="I564" t="s">
        <v>57</v>
      </c>
    </row>
    <row r="565" spans="1:9" x14ac:dyDescent="0.3">
      <c r="A565" s="1">
        <v>45544</v>
      </c>
      <c r="B565" t="s">
        <v>20</v>
      </c>
      <c r="C565" t="s">
        <v>29</v>
      </c>
      <c r="D565" t="s">
        <v>30</v>
      </c>
      <c r="E565" t="s">
        <v>17</v>
      </c>
      <c r="F565">
        <v>2</v>
      </c>
      <c r="G565">
        <v>319.45999999999998</v>
      </c>
      <c r="H565">
        <v>638.91999999999996</v>
      </c>
      <c r="I565" t="s">
        <v>57</v>
      </c>
    </row>
    <row r="566" spans="1:9" x14ac:dyDescent="0.3">
      <c r="A566" s="1">
        <v>45559</v>
      </c>
      <c r="B566" t="s">
        <v>20</v>
      </c>
      <c r="C566" t="s">
        <v>24</v>
      </c>
      <c r="D566" t="s">
        <v>19</v>
      </c>
      <c r="E566" t="s">
        <v>17</v>
      </c>
      <c r="F566">
        <v>6</v>
      </c>
      <c r="G566">
        <v>257.93</v>
      </c>
      <c r="H566">
        <v>1547.58</v>
      </c>
      <c r="I566" t="s">
        <v>57</v>
      </c>
    </row>
    <row r="567" spans="1:9" x14ac:dyDescent="0.3">
      <c r="A567" s="1">
        <v>45536</v>
      </c>
      <c r="B567" t="s">
        <v>14</v>
      </c>
      <c r="C567" t="s">
        <v>25</v>
      </c>
      <c r="D567" t="s">
        <v>16</v>
      </c>
      <c r="E567" t="s">
        <v>26</v>
      </c>
      <c r="F567">
        <v>5</v>
      </c>
      <c r="G567">
        <v>162.94999999999999</v>
      </c>
      <c r="H567">
        <v>814.75</v>
      </c>
      <c r="I567" t="s">
        <v>57</v>
      </c>
    </row>
    <row r="568" spans="1:9" x14ac:dyDescent="0.3">
      <c r="A568" s="1">
        <v>45563</v>
      </c>
      <c r="B568" t="s">
        <v>20</v>
      </c>
      <c r="C568" t="s">
        <v>15</v>
      </c>
      <c r="D568" t="s">
        <v>16</v>
      </c>
      <c r="E568" t="s">
        <v>13</v>
      </c>
      <c r="F568">
        <v>7</v>
      </c>
      <c r="G568">
        <v>406.86</v>
      </c>
      <c r="H568">
        <v>2848.02</v>
      </c>
      <c r="I568" t="s">
        <v>57</v>
      </c>
    </row>
    <row r="569" spans="1:9" x14ac:dyDescent="0.3">
      <c r="A569" s="1">
        <v>45563</v>
      </c>
      <c r="B569" t="s">
        <v>12</v>
      </c>
      <c r="C569" t="s">
        <v>9</v>
      </c>
      <c r="D569" t="s">
        <v>10</v>
      </c>
      <c r="E569" t="s">
        <v>11</v>
      </c>
      <c r="F569">
        <v>2</v>
      </c>
      <c r="G569">
        <v>28.91</v>
      </c>
      <c r="H569">
        <v>57.82</v>
      </c>
      <c r="I569" t="s">
        <v>57</v>
      </c>
    </row>
    <row r="570" spans="1:9" x14ac:dyDescent="0.3">
      <c r="A570" s="1">
        <v>45542</v>
      </c>
      <c r="B570" t="s">
        <v>8</v>
      </c>
      <c r="C570" t="s">
        <v>15</v>
      </c>
      <c r="D570" t="s">
        <v>16</v>
      </c>
      <c r="E570" t="s">
        <v>11</v>
      </c>
      <c r="F570">
        <v>8</v>
      </c>
      <c r="G570">
        <v>382.55</v>
      </c>
      <c r="H570">
        <v>3060.4</v>
      </c>
      <c r="I570" t="s">
        <v>57</v>
      </c>
    </row>
    <row r="571" spans="1:9" x14ac:dyDescent="0.3">
      <c r="A571" s="1">
        <v>45562</v>
      </c>
      <c r="B571" t="s">
        <v>8</v>
      </c>
      <c r="C571" t="s">
        <v>29</v>
      </c>
      <c r="D571" t="s">
        <v>30</v>
      </c>
      <c r="E571" t="s">
        <v>27</v>
      </c>
      <c r="F571">
        <v>3</v>
      </c>
      <c r="G571">
        <v>315.45999999999998</v>
      </c>
      <c r="H571">
        <v>946.38</v>
      </c>
      <c r="I571" t="s">
        <v>57</v>
      </c>
    </row>
    <row r="572" spans="1:9" x14ac:dyDescent="0.3">
      <c r="A572" s="1">
        <v>45562</v>
      </c>
      <c r="B572" t="s">
        <v>12</v>
      </c>
      <c r="C572" t="s">
        <v>25</v>
      </c>
      <c r="D572" t="s">
        <v>16</v>
      </c>
      <c r="E572" t="s">
        <v>31</v>
      </c>
      <c r="F572">
        <v>7</v>
      </c>
      <c r="G572">
        <v>173.5</v>
      </c>
      <c r="H572">
        <v>1214.5</v>
      </c>
      <c r="I572" t="s">
        <v>57</v>
      </c>
    </row>
    <row r="573" spans="1:9" x14ac:dyDescent="0.3">
      <c r="A573" s="1">
        <v>45549</v>
      </c>
      <c r="B573" t="s">
        <v>14</v>
      </c>
      <c r="C573" t="s">
        <v>9</v>
      </c>
      <c r="D573" t="s">
        <v>10</v>
      </c>
      <c r="E573" t="s">
        <v>17</v>
      </c>
      <c r="F573">
        <v>7</v>
      </c>
      <c r="G573">
        <v>30.44</v>
      </c>
      <c r="H573">
        <v>213.08</v>
      </c>
      <c r="I573" t="s">
        <v>57</v>
      </c>
    </row>
    <row r="574" spans="1:9" x14ac:dyDescent="0.3">
      <c r="A574" s="1">
        <v>45560</v>
      </c>
      <c r="B574" t="s">
        <v>14</v>
      </c>
      <c r="C574" t="s">
        <v>21</v>
      </c>
      <c r="D574" t="s">
        <v>10</v>
      </c>
      <c r="E574" t="s">
        <v>23</v>
      </c>
      <c r="F574">
        <v>4</v>
      </c>
      <c r="G574">
        <v>41.02</v>
      </c>
      <c r="H574">
        <v>164.08</v>
      </c>
      <c r="I574" t="s">
        <v>57</v>
      </c>
    </row>
    <row r="575" spans="1:9" x14ac:dyDescent="0.3">
      <c r="A575" s="1">
        <v>45547</v>
      </c>
      <c r="B575" t="s">
        <v>14</v>
      </c>
      <c r="C575" t="s">
        <v>15</v>
      </c>
      <c r="D575" t="s">
        <v>16</v>
      </c>
      <c r="E575" t="s">
        <v>26</v>
      </c>
      <c r="F575">
        <v>2</v>
      </c>
      <c r="G575">
        <v>404.67</v>
      </c>
      <c r="H575">
        <v>809.34</v>
      </c>
      <c r="I575" t="s">
        <v>57</v>
      </c>
    </row>
    <row r="576" spans="1:9" x14ac:dyDescent="0.3">
      <c r="A576" s="1">
        <v>45546</v>
      </c>
      <c r="B576" t="s">
        <v>8</v>
      </c>
      <c r="C576" t="s">
        <v>29</v>
      </c>
      <c r="D576" t="s">
        <v>30</v>
      </c>
      <c r="E576" t="s">
        <v>11</v>
      </c>
      <c r="F576">
        <v>3</v>
      </c>
      <c r="G576">
        <v>302.31</v>
      </c>
      <c r="H576">
        <v>906.93</v>
      </c>
      <c r="I576" t="s">
        <v>57</v>
      </c>
    </row>
    <row r="577" spans="1:9" x14ac:dyDescent="0.3">
      <c r="A577" s="1">
        <v>45565</v>
      </c>
      <c r="B577" t="s">
        <v>8</v>
      </c>
      <c r="C577" t="s">
        <v>24</v>
      </c>
      <c r="D577" t="s">
        <v>19</v>
      </c>
      <c r="E577" t="s">
        <v>11</v>
      </c>
      <c r="F577">
        <v>8</v>
      </c>
      <c r="G577">
        <v>273.16000000000003</v>
      </c>
      <c r="H577">
        <v>2185.2800000000002</v>
      </c>
      <c r="I577" t="s">
        <v>57</v>
      </c>
    </row>
    <row r="578" spans="1:9" x14ac:dyDescent="0.3">
      <c r="A578" s="1">
        <v>45559</v>
      </c>
      <c r="B578" t="s">
        <v>14</v>
      </c>
      <c r="C578" t="s">
        <v>22</v>
      </c>
      <c r="D578" t="s">
        <v>10</v>
      </c>
      <c r="E578" t="s">
        <v>11</v>
      </c>
      <c r="F578">
        <v>3</v>
      </c>
      <c r="G578">
        <v>72.77</v>
      </c>
      <c r="H578">
        <v>218.31</v>
      </c>
      <c r="I578" t="s">
        <v>57</v>
      </c>
    </row>
    <row r="579" spans="1:9" x14ac:dyDescent="0.3">
      <c r="A579" s="1">
        <v>45563</v>
      </c>
      <c r="B579" t="s">
        <v>20</v>
      </c>
      <c r="C579" t="s">
        <v>18</v>
      </c>
      <c r="D579" t="s">
        <v>19</v>
      </c>
      <c r="E579" t="s">
        <v>27</v>
      </c>
      <c r="F579">
        <v>4</v>
      </c>
      <c r="G579">
        <v>956.48</v>
      </c>
      <c r="H579">
        <v>3825.92</v>
      </c>
      <c r="I579" t="s">
        <v>57</v>
      </c>
    </row>
    <row r="580" spans="1:9" x14ac:dyDescent="0.3">
      <c r="A580" s="1">
        <v>45552</v>
      </c>
      <c r="B580" t="s">
        <v>20</v>
      </c>
      <c r="C580" t="s">
        <v>22</v>
      </c>
      <c r="D580" t="s">
        <v>10</v>
      </c>
      <c r="E580" t="s">
        <v>11</v>
      </c>
      <c r="F580">
        <v>3</v>
      </c>
      <c r="G580">
        <v>74.349999999999994</v>
      </c>
      <c r="H580">
        <v>223.05</v>
      </c>
      <c r="I580" t="s">
        <v>57</v>
      </c>
    </row>
    <row r="581" spans="1:9" x14ac:dyDescent="0.3">
      <c r="A581" s="1">
        <v>45542</v>
      </c>
      <c r="B581" t="s">
        <v>14</v>
      </c>
      <c r="C581" t="s">
        <v>24</v>
      </c>
      <c r="D581" t="s">
        <v>19</v>
      </c>
      <c r="E581" t="s">
        <v>17</v>
      </c>
      <c r="F581">
        <v>6</v>
      </c>
      <c r="G581">
        <v>234.09</v>
      </c>
      <c r="H581">
        <v>1404.54</v>
      </c>
      <c r="I581" t="s">
        <v>57</v>
      </c>
    </row>
    <row r="582" spans="1:9" x14ac:dyDescent="0.3">
      <c r="A582" s="1">
        <v>45908</v>
      </c>
      <c r="B582" t="s">
        <v>12</v>
      </c>
      <c r="C582" t="s">
        <v>18</v>
      </c>
      <c r="D582" t="s">
        <v>19</v>
      </c>
      <c r="E582" t="s">
        <v>13</v>
      </c>
      <c r="F582">
        <v>7</v>
      </c>
      <c r="G582">
        <v>862.42</v>
      </c>
      <c r="H582">
        <v>6036.94</v>
      </c>
      <c r="I582" t="s">
        <v>58</v>
      </c>
    </row>
    <row r="583" spans="1:9" x14ac:dyDescent="0.3">
      <c r="A583" s="1">
        <v>45910</v>
      </c>
      <c r="B583" t="s">
        <v>14</v>
      </c>
      <c r="C583" t="s">
        <v>24</v>
      </c>
      <c r="D583" t="s">
        <v>19</v>
      </c>
      <c r="E583" t="s">
        <v>11</v>
      </c>
      <c r="F583">
        <v>5</v>
      </c>
      <c r="G583">
        <v>240.59</v>
      </c>
      <c r="H583">
        <v>1202.95</v>
      </c>
      <c r="I583" t="s">
        <v>58</v>
      </c>
    </row>
    <row r="584" spans="1:9" x14ac:dyDescent="0.3">
      <c r="A584" s="1">
        <v>45925</v>
      </c>
      <c r="B584" t="s">
        <v>8</v>
      </c>
      <c r="C584" t="s">
        <v>29</v>
      </c>
      <c r="D584" t="s">
        <v>30</v>
      </c>
      <c r="E584" t="s">
        <v>17</v>
      </c>
      <c r="F584">
        <v>8</v>
      </c>
      <c r="G584">
        <v>300.54000000000002</v>
      </c>
      <c r="H584">
        <v>2404.3200000000002</v>
      </c>
      <c r="I584" t="s">
        <v>58</v>
      </c>
    </row>
    <row r="585" spans="1:9" x14ac:dyDescent="0.3">
      <c r="A585" s="1">
        <v>45915</v>
      </c>
      <c r="B585" t="s">
        <v>8</v>
      </c>
      <c r="C585" t="s">
        <v>18</v>
      </c>
      <c r="D585" t="s">
        <v>19</v>
      </c>
      <c r="E585" t="s">
        <v>27</v>
      </c>
      <c r="F585">
        <v>8</v>
      </c>
      <c r="G585">
        <v>868.53</v>
      </c>
      <c r="H585">
        <v>6948.24</v>
      </c>
      <c r="I585" t="s">
        <v>58</v>
      </c>
    </row>
    <row r="586" spans="1:9" x14ac:dyDescent="0.3">
      <c r="A586" s="1">
        <v>45902</v>
      </c>
      <c r="B586" t="s">
        <v>14</v>
      </c>
      <c r="C586" t="s">
        <v>25</v>
      </c>
      <c r="D586" t="s">
        <v>16</v>
      </c>
      <c r="E586" t="s">
        <v>11</v>
      </c>
      <c r="F586">
        <v>7</v>
      </c>
      <c r="G586">
        <v>196.65</v>
      </c>
      <c r="H586">
        <v>1376.55</v>
      </c>
      <c r="I586" t="s">
        <v>58</v>
      </c>
    </row>
    <row r="587" spans="1:9" x14ac:dyDescent="0.3">
      <c r="A587" s="1">
        <v>45902</v>
      </c>
      <c r="B587" t="s">
        <v>12</v>
      </c>
      <c r="C587" t="s">
        <v>25</v>
      </c>
      <c r="D587" t="s">
        <v>16</v>
      </c>
      <c r="E587" t="s">
        <v>11</v>
      </c>
      <c r="F587">
        <v>6</v>
      </c>
      <c r="G587">
        <v>172.25</v>
      </c>
      <c r="H587">
        <v>1033.5</v>
      </c>
      <c r="I587" t="s">
        <v>58</v>
      </c>
    </row>
    <row r="588" spans="1:9" x14ac:dyDescent="0.3">
      <c r="A588" s="1">
        <v>45915</v>
      </c>
      <c r="B588" t="s">
        <v>12</v>
      </c>
      <c r="C588" t="s">
        <v>22</v>
      </c>
      <c r="D588" t="s">
        <v>10</v>
      </c>
      <c r="E588" t="s">
        <v>28</v>
      </c>
      <c r="F588">
        <v>4</v>
      </c>
      <c r="G588">
        <v>70.17</v>
      </c>
      <c r="H588">
        <v>280.68</v>
      </c>
      <c r="I588" t="s">
        <v>58</v>
      </c>
    </row>
    <row r="589" spans="1:9" x14ac:dyDescent="0.3">
      <c r="A589" s="1">
        <v>45905</v>
      </c>
      <c r="B589" t="s">
        <v>12</v>
      </c>
      <c r="C589" t="s">
        <v>29</v>
      </c>
      <c r="D589" t="s">
        <v>30</v>
      </c>
      <c r="E589" t="s">
        <v>27</v>
      </c>
      <c r="F589">
        <v>6</v>
      </c>
      <c r="G589">
        <v>309.83</v>
      </c>
      <c r="H589">
        <v>1858.98</v>
      </c>
      <c r="I589" t="s">
        <v>58</v>
      </c>
    </row>
    <row r="590" spans="1:9" x14ac:dyDescent="0.3">
      <c r="A590" s="1">
        <v>45913</v>
      </c>
      <c r="B590" t="s">
        <v>12</v>
      </c>
      <c r="C590" t="s">
        <v>21</v>
      </c>
      <c r="D590" t="s">
        <v>10</v>
      </c>
      <c r="E590" t="s">
        <v>17</v>
      </c>
      <c r="F590">
        <v>8</v>
      </c>
      <c r="G590">
        <v>45.96</v>
      </c>
      <c r="H590">
        <v>367.68</v>
      </c>
      <c r="I590" t="s">
        <v>58</v>
      </c>
    </row>
    <row r="591" spans="1:9" x14ac:dyDescent="0.3">
      <c r="A591" s="1">
        <v>45901</v>
      </c>
      <c r="B591" t="s">
        <v>8</v>
      </c>
      <c r="C591" t="s">
        <v>25</v>
      </c>
      <c r="D591" t="s">
        <v>16</v>
      </c>
      <c r="E591" t="s">
        <v>28</v>
      </c>
      <c r="F591">
        <v>3</v>
      </c>
      <c r="G591">
        <v>166.18</v>
      </c>
      <c r="H591">
        <v>498.54</v>
      </c>
      <c r="I591" t="s">
        <v>58</v>
      </c>
    </row>
    <row r="592" spans="1:9" x14ac:dyDescent="0.3">
      <c r="A592" s="1">
        <v>45926</v>
      </c>
      <c r="B592" t="s">
        <v>12</v>
      </c>
      <c r="C592" t="s">
        <v>9</v>
      </c>
      <c r="D592" t="s">
        <v>10</v>
      </c>
      <c r="E592" t="s">
        <v>11</v>
      </c>
      <c r="F592">
        <v>1</v>
      </c>
      <c r="G592">
        <v>29.39</v>
      </c>
      <c r="H592">
        <v>29.39</v>
      </c>
      <c r="I592" t="s">
        <v>58</v>
      </c>
    </row>
    <row r="593" spans="1:9" x14ac:dyDescent="0.3">
      <c r="A593" s="1">
        <v>45928</v>
      </c>
      <c r="B593" t="s">
        <v>20</v>
      </c>
      <c r="C593" t="s">
        <v>24</v>
      </c>
      <c r="D593" t="s">
        <v>19</v>
      </c>
      <c r="E593" t="s">
        <v>13</v>
      </c>
      <c r="F593">
        <v>8</v>
      </c>
      <c r="G593">
        <v>234.79</v>
      </c>
      <c r="H593">
        <v>1878.32</v>
      </c>
      <c r="I593" t="s">
        <v>58</v>
      </c>
    </row>
    <row r="594" spans="1:9" x14ac:dyDescent="0.3">
      <c r="A594" s="1">
        <v>45918</v>
      </c>
      <c r="B594" t="s">
        <v>8</v>
      </c>
      <c r="C594" t="s">
        <v>24</v>
      </c>
      <c r="D594" t="s">
        <v>19</v>
      </c>
      <c r="E594" t="s">
        <v>27</v>
      </c>
      <c r="F594">
        <v>1</v>
      </c>
      <c r="G594">
        <v>233.87</v>
      </c>
      <c r="H594">
        <v>233.87</v>
      </c>
      <c r="I594" t="s">
        <v>58</v>
      </c>
    </row>
    <row r="595" spans="1:9" x14ac:dyDescent="0.3">
      <c r="A595" s="1">
        <v>45911</v>
      </c>
      <c r="B595" t="s">
        <v>14</v>
      </c>
      <c r="C595" t="s">
        <v>18</v>
      </c>
      <c r="D595" t="s">
        <v>19</v>
      </c>
      <c r="E595" t="s">
        <v>13</v>
      </c>
      <c r="F595">
        <v>4</v>
      </c>
      <c r="G595">
        <v>867.61</v>
      </c>
      <c r="H595">
        <v>3470.44</v>
      </c>
      <c r="I595" t="s">
        <v>58</v>
      </c>
    </row>
    <row r="596" spans="1:9" x14ac:dyDescent="0.3">
      <c r="A596" s="1">
        <v>45927</v>
      </c>
      <c r="B596" t="s">
        <v>12</v>
      </c>
      <c r="C596" t="s">
        <v>9</v>
      </c>
      <c r="D596" t="s">
        <v>10</v>
      </c>
      <c r="E596" t="s">
        <v>26</v>
      </c>
      <c r="F596">
        <v>8</v>
      </c>
      <c r="G596">
        <v>29.81</v>
      </c>
      <c r="H596">
        <v>238.48</v>
      </c>
      <c r="I596" t="s">
        <v>58</v>
      </c>
    </row>
    <row r="597" spans="1:9" x14ac:dyDescent="0.3">
      <c r="A597" s="1">
        <v>45902</v>
      </c>
      <c r="B597" t="s">
        <v>12</v>
      </c>
      <c r="C597" t="s">
        <v>29</v>
      </c>
      <c r="D597" t="s">
        <v>30</v>
      </c>
      <c r="E597" t="s">
        <v>17</v>
      </c>
      <c r="F597">
        <v>6</v>
      </c>
      <c r="G597">
        <v>346.3</v>
      </c>
      <c r="H597">
        <v>2077.8000000000002</v>
      </c>
      <c r="I597" t="s">
        <v>58</v>
      </c>
    </row>
    <row r="598" spans="1:9" x14ac:dyDescent="0.3">
      <c r="A598" s="1">
        <v>45912</v>
      </c>
      <c r="B598" t="s">
        <v>14</v>
      </c>
      <c r="C598" t="s">
        <v>21</v>
      </c>
      <c r="D598" t="s">
        <v>10</v>
      </c>
      <c r="E598" t="s">
        <v>31</v>
      </c>
      <c r="F598">
        <v>3</v>
      </c>
      <c r="G598">
        <v>44.26</v>
      </c>
      <c r="H598">
        <v>132.78</v>
      </c>
      <c r="I598" t="s">
        <v>58</v>
      </c>
    </row>
    <row r="599" spans="1:9" x14ac:dyDescent="0.3">
      <c r="A599" s="1">
        <v>45930</v>
      </c>
      <c r="B599" t="s">
        <v>8</v>
      </c>
      <c r="C599" t="s">
        <v>18</v>
      </c>
      <c r="D599" t="s">
        <v>19</v>
      </c>
      <c r="E599" t="s">
        <v>13</v>
      </c>
      <c r="F599">
        <v>4</v>
      </c>
      <c r="G599">
        <v>989.39</v>
      </c>
      <c r="H599">
        <v>3957.56</v>
      </c>
      <c r="I599" t="s">
        <v>58</v>
      </c>
    </row>
    <row r="600" spans="1:9" x14ac:dyDescent="0.3">
      <c r="A600" s="1">
        <v>45922</v>
      </c>
      <c r="B600" t="s">
        <v>8</v>
      </c>
      <c r="C600" t="s">
        <v>15</v>
      </c>
      <c r="D600" t="s">
        <v>16</v>
      </c>
      <c r="E600" t="s">
        <v>13</v>
      </c>
      <c r="F600">
        <v>7</v>
      </c>
      <c r="G600">
        <v>404.88</v>
      </c>
      <c r="H600">
        <v>2834.16</v>
      </c>
      <c r="I600" t="s">
        <v>58</v>
      </c>
    </row>
    <row r="601" spans="1:9" x14ac:dyDescent="0.3">
      <c r="A601" s="1">
        <v>45913</v>
      </c>
      <c r="B601" t="s">
        <v>8</v>
      </c>
      <c r="C601" t="s">
        <v>29</v>
      </c>
      <c r="D601" t="s">
        <v>30</v>
      </c>
      <c r="E601" t="s">
        <v>17</v>
      </c>
      <c r="F601">
        <v>2</v>
      </c>
      <c r="G601">
        <v>310.44</v>
      </c>
      <c r="H601">
        <v>620.88</v>
      </c>
      <c r="I601" t="s">
        <v>58</v>
      </c>
    </row>
    <row r="602" spans="1:9" x14ac:dyDescent="0.3">
      <c r="A602" s="1">
        <v>45926</v>
      </c>
      <c r="B602" t="s">
        <v>14</v>
      </c>
      <c r="C602" t="s">
        <v>29</v>
      </c>
      <c r="D602" t="s">
        <v>30</v>
      </c>
      <c r="E602" t="s">
        <v>31</v>
      </c>
      <c r="F602">
        <v>2</v>
      </c>
      <c r="G602">
        <v>350.72</v>
      </c>
      <c r="H602">
        <v>701.44</v>
      </c>
      <c r="I602" t="s">
        <v>58</v>
      </c>
    </row>
    <row r="603" spans="1:9" x14ac:dyDescent="0.3">
      <c r="A603" s="1">
        <v>45917</v>
      </c>
      <c r="B603" t="s">
        <v>20</v>
      </c>
      <c r="C603" t="s">
        <v>24</v>
      </c>
      <c r="D603" t="s">
        <v>19</v>
      </c>
      <c r="E603" t="s">
        <v>27</v>
      </c>
      <c r="F603">
        <v>3</v>
      </c>
      <c r="G603">
        <v>269.83999999999997</v>
      </c>
      <c r="H603">
        <v>809.52</v>
      </c>
      <c r="I603" t="s">
        <v>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6784-8847-409D-8694-81DACD996BC4}">
  <dimension ref="A3:B28"/>
  <sheetViews>
    <sheetView topLeftCell="A10" workbookViewId="0">
      <selection activeCell="E23" sqref="E23"/>
    </sheetView>
  </sheetViews>
  <sheetFormatPr defaultRowHeight="14.4" x14ac:dyDescent="0.3"/>
  <cols>
    <col min="1" max="1" width="12.44140625" bestFit="1" customWidth="1"/>
    <col min="2" max="2" width="14.109375" bestFit="1" customWidth="1"/>
  </cols>
  <sheetData>
    <row r="3" spans="1:2" x14ac:dyDescent="0.3">
      <c r="A3" s="2" t="s">
        <v>33</v>
      </c>
      <c r="B3" t="s">
        <v>35</v>
      </c>
    </row>
    <row r="4" spans="1:2" x14ac:dyDescent="0.3">
      <c r="A4" s="3" t="s">
        <v>36</v>
      </c>
      <c r="B4">
        <v>40957.230000000003</v>
      </c>
    </row>
    <row r="5" spans="1:2" x14ac:dyDescent="0.3">
      <c r="A5" s="3" t="s">
        <v>37</v>
      </c>
      <c r="B5">
        <v>26118.760000000006</v>
      </c>
    </row>
    <row r="6" spans="1:2" x14ac:dyDescent="0.3">
      <c r="A6" s="3" t="s">
        <v>38</v>
      </c>
      <c r="B6">
        <v>52090.349999999991</v>
      </c>
    </row>
    <row r="7" spans="1:2" x14ac:dyDescent="0.3">
      <c r="A7" s="3" t="s">
        <v>39</v>
      </c>
      <c r="B7">
        <v>22115.21</v>
      </c>
    </row>
    <row r="8" spans="1:2" x14ac:dyDescent="0.3">
      <c r="A8" s="3" t="s">
        <v>40</v>
      </c>
      <c r="B8">
        <v>14516.900000000001</v>
      </c>
    </row>
    <row r="9" spans="1:2" x14ac:dyDescent="0.3">
      <c r="A9" s="3" t="s">
        <v>41</v>
      </c>
      <c r="B9">
        <v>23643.360000000001</v>
      </c>
    </row>
    <row r="10" spans="1:2" x14ac:dyDescent="0.3">
      <c r="A10" s="3" t="s">
        <v>42</v>
      </c>
      <c r="B10">
        <v>23206.73</v>
      </c>
    </row>
    <row r="11" spans="1:2" x14ac:dyDescent="0.3">
      <c r="A11" s="3" t="s">
        <v>43</v>
      </c>
      <c r="B11">
        <v>32242.34</v>
      </c>
    </row>
    <row r="12" spans="1:2" x14ac:dyDescent="0.3">
      <c r="A12" s="3" t="s">
        <v>44</v>
      </c>
      <c r="B12">
        <v>18474.669999999995</v>
      </c>
    </row>
    <row r="13" spans="1:2" x14ac:dyDescent="0.3">
      <c r="A13" s="3" t="s">
        <v>45</v>
      </c>
      <c r="B13">
        <v>33486.43</v>
      </c>
    </row>
    <row r="14" spans="1:2" x14ac:dyDescent="0.3">
      <c r="A14" s="3" t="s">
        <v>46</v>
      </c>
      <c r="B14">
        <v>16018.7</v>
      </c>
    </row>
    <row r="15" spans="1:2" x14ac:dyDescent="0.3">
      <c r="A15" s="3" t="s">
        <v>47</v>
      </c>
      <c r="B15">
        <v>40123.020000000004</v>
      </c>
    </row>
    <row r="16" spans="1:2" x14ac:dyDescent="0.3">
      <c r="A16" s="3" t="s">
        <v>48</v>
      </c>
      <c r="B16">
        <v>33934.720000000008</v>
      </c>
    </row>
    <row r="17" spans="1:2" x14ac:dyDescent="0.3">
      <c r="A17" s="3" t="s">
        <v>49</v>
      </c>
      <c r="B17">
        <v>37498.370000000003</v>
      </c>
    </row>
    <row r="18" spans="1:2" x14ac:dyDescent="0.3">
      <c r="A18" s="3" t="s">
        <v>50</v>
      </c>
      <c r="B18">
        <v>42970.060000000005</v>
      </c>
    </row>
    <row r="19" spans="1:2" x14ac:dyDescent="0.3">
      <c r="A19" s="3" t="s">
        <v>51</v>
      </c>
      <c r="B19">
        <v>31358.600000000002</v>
      </c>
    </row>
    <row r="20" spans="1:2" x14ac:dyDescent="0.3">
      <c r="A20" s="3" t="s">
        <v>52</v>
      </c>
      <c r="B20">
        <v>17783.82</v>
      </c>
    </row>
    <row r="21" spans="1:2" x14ac:dyDescent="0.3">
      <c r="A21" s="3" t="s">
        <v>62</v>
      </c>
      <c r="B21">
        <v>15700.530000000002</v>
      </c>
    </row>
    <row r="22" spans="1:2" x14ac:dyDescent="0.3">
      <c r="A22" s="3" t="s">
        <v>53</v>
      </c>
      <c r="B22">
        <v>27244.619999999995</v>
      </c>
    </row>
    <row r="23" spans="1:2" x14ac:dyDescent="0.3">
      <c r="A23" s="3" t="s">
        <v>54</v>
      </c>
      <c r="B23">
        <v>41581.440000000002</v>
      </c>
    </row>
    <row r="24" spans="1:2" x14ac:dyDescent="0.3">
      <c r="A24" s="3" t="s">
        <v>55</v>
      </c>
      <c r="B24">
        <v>22263.54</v>
      </c>
    </row>
    <row r="25" spans="1:2" x14ac:dyDescent="0.3">
      <c r="A25" s="3" t="s">
        <v>56</v>
      </c>
      <c r="B25">
        <v>37164.220000000008</v>
      </c>
    </row>
    <row r="26" spans="1:2" x14ac:dyDescent="0.3">
      <c r="A26" s="3" t="s">
        <v>57</v>
      </c>
      <c r="B26">
        <v>41037.24</v>
      </c>
    </row>
    <row r="27" spans="1:2" x14ac:dyDescent="0.3">
      <c r="A27" s="3" t="s">
        <v>58</v>
      </c>
      <c r="B27">
        <v>38993.01999999999</v>
      </c>
    </row>
    <row r="28" spans="1:2" x14ac:dyDescent="0.3">
      <c r="A28" s="3" t="s">
        <v>34</v>
      </c>
      <c r="B28">
        <v>730523.88000000012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71EC6-976D-4AFB-9324-9E98C7D5665E}">
  <dimension ref="A3:B12"/>
  <sheetViews>
    <sheetView topLeftCell="A3" workbookViewId="0">
      <selection activeCell="O13" sqref="O13"/>
    </sheetView>
  </sheetViews>
  <sheetFormatPr defaultRowHeight="14.4" x14ac:dyDescent="0.3"/>
  <cols>
    <col min="1" max="1" width="12.44140625" bestFit="1" customWidth="1"/>
    <col min="2" max="2" width="14.109375" bestFit="1" customWidth="1"/>
  </cols>
  <sheetData>
    <row r="3" spans="1:2" x14ac:dyDescent="0.3">
      <c r="A3" s="2" t="s">
        <v>33</v>
      </c>
      <c r="B3" t="s">
        <v>35</v>
      </c>
    </row>
    <row r="4" spans="1:2" x14ac:dyDescent="0.3">
      <c r="A4" s="3" t="s">
        <v>18</v>
      </c>
      <c r="B4">
        <v>256765.24000000005</v>
      </c>
    </row>
    <row r="5" spans="1:2" x14ac:dyDescent="0.3">
      <c r="A5" s="3" t="s">
        <v>15</v>
      </c>
      <c r="B5">
        <v>145269.52000000002</v>
      </c>
    </row>
    <row r="6" spans="1:2" x14ac:dyDescent="0.3">
      <c r="A6" s="3" t="s">
        <v>29</v>
      </c>
      <c r="B6">
        <v>109225.04000000004</v>
      </c>
    </row>
    <row r="7" spans="1:2" x14ac:dyDescent="0.3">
      <c r="A7" s="3" t="s">
        <v>24</v>
      </c>
      <c r="B7">
        <v>100309.51</v>
      </c>
    </row>
    <row r="8" spans="1:2" x14ac:dyDescent="0.3">
      <c r="A8" s="3" t="s">
        <v>25</v>
      </c>
      <c r="B8">
        <v>70131.060000000012</v>
      </c>
    </row>
    <row r="9" spans="1:2" x14ac:dyDescent="0.3">
      <c r="A9" s="3" t="s">
        <v>22</v>
      </c>
      <c r="B9">
        <v>23339.079999999998</v>
      </c>
    </row>
    <row r="10" spans="1:2" x14ac:dyDescent="0.3">
      <c r="A10" s="3" t="s">
        <v>21</v>
      </c>
      <c r="B10">
        <v>15347.800000000001</v>
      </c>
    </row>
    <row r="11" spans="1:2" x14ac:dyDescent="0.3">
      <c r="A11" s="3" t="s">
        <v>9</v>
      </c>
      <c r="B11">
        <v>10136.629999999997</v>
      </c>
    </row>
    <row r="12" spans="1:2" x14ac:dyDescent="0.3">
      <c r="A12" s="3" t="s">
        <v>34</v>
      </c>
      <c r="B12">
        <v>730523.88000000012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D356-94AD-4547-98FF-287C75C6408C}">
  <dimension ref="A3:B8"/>
  <sheetViews>
    <sheetView workbookViewId="0">
      <selection activeCell="B3" sqref="B3"/>
    </sheetView>
  </sheetViews>
  <sheetFormatPr defaultRowHeight="14.4" x14ac:dyDescent="0.3"/>
  <cols>
    <col min="1" max="1" width="12.44140625" bestFit="1" customWidth="1"/>
    <col min="2" max="2" width="14.109375" bestFit="1" customWidth="1"/>
  </cols>
  <sheetData>
    <row r="3" spans="1:2" x14ac:dyDescent="0.3">
      <c r="A3" s="2" t="s">
        <v>33</v>
      </c>
      <c r="B3" t="s">
        <v>35</v>
      </c>
    </row>
    <row r="4" spans="1:2" x14ac:dyDescent="0.3">
      <c r="A4" s="3" t="s">
        <v>12</v>
      </c>
      <c r="B4">
        <v>198143.94999999998</v>
      </c>
    </row>
    <row r="5" spans="1:2" x14ac:dyDescent="0.3">
      <c r="A5" s="3" t="s">
        <v>14</v>
      </c>
      <c r="B5">
        <v>196222.6099999999</v>
      </c>
    </row>
    <row r="6" spans="1:2" x14ac:dyDescent="0.3">
      <c r="A6" s="3" t="s">
        <v>8</v>
      </c>
      <c r="B6">
        <v>188769.6699999999</v>
      </c>
    </row>
    <row r="7" spans="1:2" x14ac:dyDescent="0.3">
      <c r="A7" s="3" t="s">
        <v>20</v>
      </c>
      <c r="B7">
        <v>147387.64999999997</v>
      </c>
    </row>
    <row r="8" spans="1:2" x14ac:dyDescent="0.3">
      <c r="A8" s="3" t="s">
        <v>34</v>
      </c>
      <c r="B8">
        <v>730523.87999999977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FA7D-3BAF-4C6F-A6B3-FB6EA3EABE73}">
  <dimension ref="A3:B12"/>
  <sheetViews>
    <sheetView workbookViewId="0">
      <selection activeCell="D12" sqref="D12"/>
    </sheetView>
  </sheetViews>
  <sheetFormatPr defaultRowHeight="14.4" x14ac:dyDescent="0.3"/>
  <cols>
    <col min="1" max="1" width="12.44140625" bestFit="1" customWidth="1"/>
    <col min="2" max="2" width="14.109375" bestFit="1" customWidth="1"/>
  </cols>
  <sheetData>
    <row r="3" spans="1:2" x14ac:dyDescent="0.3">
      <c r="A3" s="2" t="s">
        <v>33</v>
      </c>
      <c r="B3" t="s">
        <v>35</v>
      </c>
    </row>
    <row r="4" spans="1:2" x14ac:dyDescent="0.3">
      <c r="A4" s="3" t="s">
        <v>11</v>
      </c>
      <c r="B4">
        <v>118456.77999999998</v>
      </c>
    </row>
    <row r="5" spans="1:2" x14ac:dyDescent="0.3">
      <c r="A5" s="3" t="s">
        <v>28</v>
      </c>
      <c r="B5">
        <v>105540.73</v>
      </c>
    </row>
    <row r="6" spans="1:2" x14ac:dyDescent="0.3">
      <c r="A6" s="3" t="s">
        <v>26</v>
      </c>
      <c r="B6">
        <v>100129.32999999999</v>
      </c>
    </row>
    <row r="7" spans="1:2" x14ac:dyDescent="0.3">
      <c r="A7" s="3" t="s">
        <v>13</v>
      </c>
      <c r="B7">
        <v>92435.670000000013</v>
      </c>
    </row>
    <row r="8" spans="1:2" x14ac:dyDescent="0.3">
      <c r="A8" s="3" t="s">
        <v>17</v>
      </c>
      <c r="B8">
        <v>87443.370000000024</v>
      </c>
    </row>
    <row r="9" spans="1:2" x14ac:dyDescent="0.3">
      <c r="A9" s="3" t="s">
        <v>27</v>
      </c>
      <c r="B9">
        <v>85419.59</v>
      </c>
    </row>
    <row r="10" spans="1:2" x14ac:dyDescent="0.3">
      <c r="A10" s="3" t="s">
        <v>31</v>
      </c>
      <c r="B10">
        <v>76141.730000000025</v>
      </c>
    </row>
    <row r="11" spans="1:2" x14ac:dyDescent="0.3">
      <c r="A11" s="3" t="s">
        <v>23</v>
      </c>
      <c r="B11">
        <v>64956.679999999986</v>
      </c>
    </row>
    <row r="12" spans="1:2" x14ac:dyDescent="0.3">
      <c r="A12" s="3" t="s">
        <v>34</v>
      </c>
      <c r="B12">
        <v>730523.88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0778-DF2E-479E-8478-78922A8269E4}">
  <sheetPr>
    <pageSetUpPr fitToPage="1"/>
  </sheetPr>
  <dimension ref="B1:L6"/>
  <sheetViews>
    <sheetView showGridLines="0" zoomScale="60" zoomScaleNormal="60" workbookViewId="0">
      <selection activeCell="AA50" sqref="AA50"/>
    </sheetView>
  </sheetViews>
  <sheetFormatPr defaultRowHeight="14.4" x14ac:dyDescent="0.3"/>
  <cols>
    <col min="1" max="2" width="8.88671875" style="5"/>
    <col min="3" max="3" width="29.44140625" style="5" bestFit="1" customWidth="1"/>
    <col min="4" max="4" width="10" style="5" customWidth="1"/>
    <col min="5" max="6" width="8.88671875" style="5"/>
    <col min="7" max="7" width="24.44140625" style="5" bestFit="1" customWidth="1"/>
    <col min="8" max="10" width="8.88671875" style="5"/>
    <col min="11" max="11" width="21.44140625" style="5" bestFit="1" customWidth="1"/>
    <col min="12" max="16384" width="8.88671875" style="5"/>
  </cols>
  <sheetData>
    <row r="1" spans="2:12" ht="15" thickBot="1" x14ac:dyDescent="0.35">
      <c r="B1" s="4"/>
      <c r="C1" s="4"/>
    </row>
    <row r="2" spans="2:12" x14ac:dyDescent="0.3">
      <c r="B2" s="18"/>
      <c r="C2" s="19"/>
      <c r="D2" s="8"/>
      <c r="F2" s="6"/>
      <c r="G2" s="7"/>
      <c r="H2" s="8"/>
      <c r="J2" s="6"/>
      <c r="K2" s="7"/>
      <c r="L2" s="8"/>
    </row>
    <row r="3" spans="2:12" ht="18" x14ac:dyDescent="0.35">
      <c r="B3" s="20"/>
      <c r="C3" s="10" t="s">
        <v>59</v>
      </c>
      <c r="D3" s="11"/>
      <c r="F3" s="9"/>
      <c r="G3" s="10" t="s">
        <v>60</v>
      </c>
      <c r="H3" s="11"/>
      <c r="J3" s="9"/>
      <c r="K3" s="10" t="s">
        <v>61</v>
      </c>
      <c r="L3" s="11"/>
    </row>
    <row r="4" spans="2:12" ht="33.6" x14ac:dyDescent="0.65">
      <c r="B4" s="20"/>
      <c r="C4" s="21">
        <f>GETPIVOTDATA("Revenue",'Pivot Table 1 — Monthly Revenue'!$A$3)</f>
        <v>730523.88000000012</v>
      </c>
      <c r="D4" s="11"/>
      <c r="F4" s="9"/>
      <c r="G4" s="22">
        <f>SUM(SalesData[Quantity])</f>
        <v>2791</v>
      </c>
      <c r="H4" s="11"/>
      <c r="J4" s="9"/>
      <c r="K4" s="12">
        <f>AVERAGE(SalesData[Revenue])</f>
        <v>1217.5398000000021</v>
      </c>
      <c r="L4" s="11"/>
    </row>
    <row r="5" spans="2:12" x14ac:dyDescent="0.3">
      <c r="B5" s="9"/>
      <c r="C5" s="13"/>
      <c r="D5" s="11"/>
      <c r="F5" s="9"/>
      <c r="G5" s="13"/>
      <c r="H5" s="11"/>
      <c r="J5" s="9"/>
      <c r="K5" s="13"/>
      <c r="L5" s="11"/>
    </row>
    <row r="6" spans="2:12" ht="15" thickBot="1" x14ac:dyDescent="0.35">
      <c r="B6" s="14"/>
      <c r="C6" s="15"/>
      <c r="D6" s="16"/>
      <c r="F6" s="14"/>
      <c r="G6" s="15"/>
      <c r="H6" s="16"/>
      <c r="J6" s="14"/>
      <c r="K6" s="15"/>
      <c r="L6" s="16"/>
    </row>
  </sheetData>
  <pageMargins left="0.7" right="0.7" top="0.75" bottom="0.75" header="0.3" footer="0.3"/>
  <pageSetup scale="43"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AA0B-425A-4455-96AC-AFD7C22D3080}">
  <dimension ref="A1:I601"/>
  <sheetViews>
    <sheetView tabSelected="1" workbookViewId="0">
      <selection activeCell="D8" sqref="D8"/>
    </sheetView>
  </sheetViews>
  <sheetFormatPr defaultRowHeight="14.4" x14ac:dyDescent="0.3"/>
  <cols>
    <col min="1" max="1" width="11.6640625" customWidth="1"/>
    <col min="2" max="2" width="8.33203125" customWidth="1"/>
    <col min="3" max="3" width="9.21875" customWidth="1"/>
    <col min="4" max="4" width="14.88671875" bestFit="1" customWidth="1"/>
    <col min="5" max="5" width="12.77734375" customWidth="1"/>
    <col min="6" max="6" width="9.5546875" customWidth="1"/>
    <col min="7" max="7" width="10.6640625" customWidth="1"/>
    <col min="8" max="8" width="9.77734375" customWidth="1"/>
  </cols>
  <sheetData>
    <row r="1" spans="1:9" x14ac:dyDescent="0.3">
      <c r="A1" t="s">
        <v>0</v>
      </c>
      <c r="B1" t="s">
        <v>1</v>
      </c>
      <c r="C1" t="s">
        <v>2</v>
      </c>
      <c r="D1" t="s">
        <v>3</v>
      </c>
      <c r="E1" t="s">
        <v>4</v>
      </c>
      <c r="F1" t="s">
        <v>5</v>
      </c>
      <c r="G1" t="s">
        <v>6</v>
      </c>
      <c r="H1" t="s">
        <v>7</v>
      </c>
      <c r="I1" t="s">
        <v>32</v>
      </c>
    </row>
    <row r="2" spans="1:9" x14ac:dyDescent="0.3">
      <c r="A2" s="1">
        <v>45946</v>
      </c>
      <c r="B2" t="s">
        <v>8</v>
      </c>
      <c r="C2" t="s">
        <v>9</v>
      </c>
      <c r="D2" t="s">
        <v>10</v>
      </c>
      <c r="E2" t="s">
        <v>11</v>
      </c>
      <c r="F2">
        <v>7</v>
      </c>
      <c r="G2">
        <v>29.25</v>
      </c>
      <c r="H2">
        <v>204.75</v>
      </c>
      <c r="I2" t="str">
        <f>TEXT(SalesData[[#This Row],[Order Date]],"mmm-yyyy")</f>
        <v>Oct-2025</v>
      </c>
    </row>
    <row r="3" spans="1:9" x14ac:dyDescent="0.3">
      <c r="A3" s="1">
        <v>45406</v>
      </c>
      <c r="B3" t="s">
        <v>12</v>
      </c>
      <c r="C3" t="s">
        <v>9</v>
      </c>
      <c r="D3" t="s">
        <v>10</v>
      </c>
      <c r="E3" t="s">
        <v>13</v>
      </c>
      <c r="F3">
        <v>3</v>
      </c>
      <c r="G3">
        <v>32.700000000000003</v>
      </c>
      <c r="H3">
        <v>98.1</v>
      </c>
      <c r="I3" t="str">
        <f>TEXT(SalesData[[#This Row],[Order Date]],"mmm-yyyy")</f>
        <v>Apr-2024</v>
      </c>
    </row>
    <row r="4" spans="1:9" x14ac:dyDescent="0.3">
      <c r="A4" s="1">
        <v>45317</v>
      </c>
      <c r="B4" t="s">
        <v>14</v>
      </c>
      <c r="C4" t="s">
        <v>15</v>
      </c>
      <c r="D4" t="s">
        <v>16</v>
      </c>
      <c r="E4" t="s">
        <v>17</v>
      </c>
      <c r="F4">
        <v>4</v>
      </c>
      <c r="G4">
        <v>418.56</v>
      </c>
      <c r="H4">
        <v>1674.24</v>
      </c>
      <c r="I4" t="str">
        <f>TEXT(SalesData[[#This Row],[Order Date]],"mmm-yyyy")</f>
        <v>Jan-2024</v>
      </c>
    </row>
    <row r="5" spans="1:9" x14ac:dyDescent="0.3">
      <c r="A5" s="1">
        <v>45573</v>
      </c>
      <c r="B5" t="s">
        <v>12</v>
      </c>
      <c r="C5" t="s">
        <v>18</v>
      </c>
      <c r="D5" t="s">
        <v>19</v>
      </c>
      <c r="E5" t="s">
        <v>17</v>
      </c>
      <c r="F5">
        <v>4</v>
      </c>
      <c r="G5">
        <v>917.76</v>
      </c>
      <c r="H5">
        <v>3671.04</v>
      </c>
      <c r="I5" t="str">
        <f>TEXT(SalesData[[#This Row],[Order Date]],"mmm-yyyy")</f>
        <v>Oct-2024</v>
      </c>
    </row>
    <row r="6" spans="1:9" x14ac:dyDescent="0.3">
      <c r="A6" s="1">
        <v>45542</v>
      </c>
      <c r="B6" t="s">
        <v>20</v>
      </c>
      <c r="C6" t="s">
        <v>21</v>
      </c>
      <c r="D6" t="s">
        <v>10</v>
      </c>
      <c r="E6" t="s">
        <v>17</v>
      </c>
      <c r="F6">
        <v>8</v>
      </c>
      <c r="G6">
        <v>41.9</v>
      </c>
      <c r="H6">
        <v>335.2</v>
      </c>
      <c r="I6" t="str">
        <f>TEXT(SalesData[[#This Row],[Order Date]],"mmm-yyyy")</f>
        <v>Sep-2024</v>
      </c>
    </row>
    <row r="7" spans="1:9" x14ac:dyDescent="0.3">
      <c r="A7" s="1">
        <v>45520</v>
      </c>
      <c r="B7" t="s">
        <v>14</v>
      </c>
      <c r="C7" t="s">
        <v>15</v>
      </c>
      <c r="D7" t="s">
        <v>16</v>
      </c>
      <c r="E7" t="s">
        <v>17</v>
      </c>
      <c r="F7">
        <v>8</v>
      </c>
      <c r="G7">
        <v>372.48</v>
      </c>
      <c r="H7">
        <v>2979.84</v>
      </c>
      <c r="I7" t="str">
        <f>TEXT(SalesData[[#This Row],[Order Date]],"mmm-yyyy")</f>
        <v>Aug-2024</v>
      </c>
    </row>
    <row r="8" spans="1:9" x14ac:dyDescent="0.3">
      <c r="A8" s="1">
        <v>45434</v>
      </c>
      <c r="B8" t="s">
        <v>14</v>
      </c>
      <c r="C8" t="s">
        <v>22</v>
      </c>
      <c r="D8" t="s">
        <v>10</v>
      </c>
      <c r="E8" t="s">
        <v>23</v>
      </c>
      <c r="F8">
        <v>5</v>
      </c>
      <c r="G8">
        <v>63.81</v>
      </c>
      <c r="H8">
        <v>319.05</v>
      </c>
      <c r="I8" t="str">
        <f>TEXT(SalesData[[#This Row],[Order Date]],"mmm-yyyy")</f>
        <v>May-2024</v>
      </c>
    </row>
    <row r="9" spans="1:9" x14ac:dyDescent="0.3">
      <c r="A9" s="1">
        <v>45396</v>
      </c>
      <c r="B9" t="s">
        <v>20</v>
      </c>
      <c r="C9" t="s">
        <v>22</v>
      </c>
      <c r="D9" t="s">
        <v>10</v>
      </c>
      <c r="E9" t="s">
        <v>17</v>
      </c>
      <c r="F9">
        <v>4</v>
      </c>
      <c r="G9">
        <v>75.13</v>
      </c>
      <c r="H9">
        <v>300.52</v>
      </c>
      <c r="I9" t="str">
        <f>TEXT(SalesData[[#This Row],[Order Date]],"mmm-yyyy")</f>
        <v>Apr-2024</v>
      </c>
    </row>
    <row r="10" spans="1:9" x14ac:dyDescent="0.3">
      <c r="A10" s="1">
        <v>45984</v>
      </c>
      <c r="B10" t="s">
        <v>14</v>
      </c>
      <c r="C10" t="s">
        <v>24</v>
      </c>
      <c r="D10" t="s">
        <v>19</v>
      </c>
      <c r="E10" t="s">
        <v>23</v>
      </c>
      <c r="F10">
        <v>5</v>
      </c>
      <c r="G10">
        <v>255.06</v>
      </c>
      <c r="H10">
        <v>1275.3</v>
      </c>
      <c r="I10" t="str">
        <f>TEXT(SalesData[[#This Row],[Order Date]],"mmm-yyyy")</f>
        <v>Nov-2025</v>
      </c>
    </row>
    <row r="11" spans="1:9" x14ac:dyDescent="0.3">
      <c r="A11" s="1">
        <v>45850</v>
      </c>
      <c r="B11" t="s">
        <v>12</v>
      </c>
      <c r="C11" t="s">
        <v>25</v>
      </c>
      <c r="D11" t="s">
        <v>16</v>
      </c>
      <c r="E11" t="s">
        <v>26</v>
      </c>
      <c r="F11">
        <v>6</v>
      </c>
      <c r="G11">
        <v>187.49</v>
      </c>
      <c r="H11">
        <v>1124.94</v>
      </c>
      <c r="I11" t="str">
        <f>TEXT(SalesData[[#This Row],[Order Date]],"mmm-yyyy")</f>
        <v>Jul-2025</v>
      </c>
    </row>
    <row r="12" spans="1:9" x14ac:dyDescent="0.3">
      <c r="A12" s="1">
        <v>45381</v>
      </c>
      <c r="B12" t="s">
        <v>8</v>
      </c>
      <c r="C12" t="s">
        <v>21</v>
      </c>
      <c r="D12" t="s">
        <v>10</v>
      </c>
      <c r="E12" t="s">
        <v>26</v>
      </c>
      <c r="F12">
        <v>4</v>
      </c>
      <c r="G12">
        <v>40.69</v>
      </c>
      <c r="H12">
        <v>162.76</v>
      </c>
      <c r="I12" t="str">
        <f>TEXT(SalesData[[#This Row],[Order Date]],"mmm-yyyy")</f>
        <v>Mar-2024</v>
      </c>
    </row>
    <row r="13" spans="1:9" x14ac:dyDescent="0.3">
      <c r="A13" s="1">
        <v>45896</v>
      </c>
      <c r="B13" t="s">
        <v>8</v>
      </c>
      <c r="C13" t="s">
        <v>9</v>
      </c>
      <c r="D13" t="s">
        <v>10</v>
      </c>
      <c r="E13" t="s">
        <v>11</v>
      </c>
      <c r="F13">
        <v>2</v>
      </c>
      <c r="G13">
        <v>32.82</v>
      </c>
      <c r="H13">
        <v>65.64</v>
      </c>
      <c r="I13" t="str">
        <f>TEXT(SalesData[[#This Row],[Order Date]],"mmm-yyyy")</f>
        <v>Aug-2025</v>
      </c>
    </row>
    <row r="14" spans="1:9" x14ac:dyDescent="0.3">
      <c r="A14" s="1">
        <v>45724</v>
      </c>
      <c r="B14" t="s">
        <v>8</v>
      </c>
      <c r="C14" t="s">
        <v>25</v>
      </c>
      <c r="D14" t="s">
        <v>16</v>
      </c>
      <c r="E14" t="s">
        <v>27</v>
      </c>
      <c r="F14">
        <v>8</v>
      </c>
      <c r="G14">
        <v>191.97</v>
      </c>
      <c r="H14">
        <v>1535.76</v>
      </c>
      <c r="I14" t="str">
        <f>TEXT(SalesData[[#This Row],[Order Date]],"mmm-yyyy")</f>
        <v>Mar-2025</v>
      </c>
    </row>
    <row r="15" spans="1:9" x14ac:dyDescent="0.3">
      <c r="A15" s="1">
        <v>45324</v>
      </c>
      <c r="B15" t="s">
        <v>8</v>
      </c>
      <c r="C15" t="s">
        <v>9</v>
      </c>
      <c r="D15" t="s">
        <v>10</v>
      </c>
      <c r="E15" t="s">
        <v>27</v>
      </c>
      <c r="F15">
        <v>7</v>
      </c>
      <c r="G15">
        <v>28.27</v>
      </c>
      <c r="H15">
        <v>197.89</v>
      </c>
      <c r="I15" t="str">
        <f>TEXT(SalesData[[#This Row],[Order Date]],"mmm-yyyy")</f>
        <v>Feb-2024</v>
      </c>
    </row>
    <row r="16" spans="1:9" x14ac:dyDescent="0.3">
      <c r="A16" s="1">
        <v>45322</v>
      </c>
      <c r="B16" t="s">
        <v>12</v>
      </c>
      <c r="C16" t="s">
        <v>15</v>
      </c>
      <c r="D16" t="s">
        <v>16</v>
      </c>
      <c r="E16" t="s">
        <v>28</v>
      </c>
      <c r="F16">
        <v>8</v>
      </c>
      <c r="G16">
        <v>374.55</v>
      </c>
      <c r="H16">
        <v>2996.4</v>
      </c>
      <c r="I16" t="str">
        <f>TEXT(SalesData[[#This Row],[Order Date]],"mmm-yyyy")</f>
        <v>Jan-2024</v>
      </c>
    </row>
    <row r="17" spans="1:9" x14ac:dyDescent="0.3">
      <c r="A17" s="1">
        <v>45387</v>
      </c>
      <c r="B17" t="s">
        <v>8</v>
      </c>
      <c r="C17" t="s">
        <v>29</v>
      </c>
      <c r="D17" t="s">
        <v>30</v>
      </c>
      <c r="E17" t="s">
        <v>31</v>
      </c>
      <c r="F17">
        <v>7</v>
      </c>
      <c r="G17">
        <v>299.74</v>
      </c>
      <c r="H17">
        <v>2098.1799999999998</v>
      </c>
      <c r="I17" t="str">
        <f>TEXT(SalesData[[#This Row],[Order Date]],"mmm-yyyy")</f>
        <v>Apr-2024</v>
      </c>
    </row>
    <row r="18" spans="1:9" x14ac:dyDescent="0.3">
      <c r="A18" s="1">
        <v>45515</v>
      </c>
      <c r="B18" t="s">
        <v>20</v>
      </c>
      <c r="C18" t="s">
        <v>22</v>
      </c>
      <c r="D18" t="s">
        <v>10</v>
      </c>
      <c r="E18" t="s">
        <v>11</v>
      </c>
      <c r="F18">
        <v>4</v>
      </c>
      <c r="G18">
        <v>67.260000000000005</v>
      </c>
      <c r="H18">
        <v>269.04000000000002</v>
      </c>
      <c r="I18" t="str">
        <f>TEXT(SalesData[[#This Row],[Order Date]],"mmm-yyyy")</f>
        <v>Aug-2024</v>
      </c>
    </row>
    <row r="19" spans="1:9" x14ac:dyDescent="0.3">
      <c r="A19" s="1">
        <v>45530</v>
      </c>
      <c r="B19" t="s">
        <v>8</v>
      </c>
      <c r="C19" t="s">
        <v>22</v>
      </c>
      <c r="D19" t="s">
        <v>10</v>
      </c>
      <c r="E19" t="s">
        <v>28</v>
      </c>
      <c r="F19">
        <v>1</v>
      </c>
      <c r="G19">
        <v>70.349999999999994</v>
      </c>
      <c r="H19">
        <v>70.349999999999994</v>
      </c>
      <c r="I19" t="str">
        <f>TEXT(SalesData[[#This Row],[Order Date]],"mmm-yyyy")</f>
        <v>Aug-2024</v>
      </c>
    </row>
    <row r="20" spans="1:9" x14ac:dyDescent="0.3">
      <c r="A20" s="1">
        <v>45809</v>
      </c>
      <c r="B20" t="s">
        <v>8</v>
      </c>
      <c r="C20" t="s">
        <v>15</v>
      </c>
      <c r="D20" t="s">
        <v>16</v>
      </c>
      <c r="E20" t="s">
        <v>26</v>
      </c>
      <c r="F20">
        <v>3</v>
      </c>
      <c r="G20">
        <v>394.56</v>
      </c>
      <c r="H20">
        <v>1183.68</v>
      </c>
      <c r="I20" t="str">
        <f>TEXT(SalesData[[#This Row],[Order Date]],"mmm-yyyy")</f>
        <v>Jun-2025</v>
      </c>
    </row>
    <row r="21" spans="1:9" x14ac:dyDescent="0.3">
      <c r="A21" s="1">
        <v>45908</v>
      </c>
      <c r="B21" t="s">
        <v>12</v>
      </c>
      <c r="C21" t="s">
        <v>18</v>
      </c>
      <c r="D21" t="s">
        <v>19</v>
      </c>
      <c r="E21" t="s">
        <v>13</v>
      </c>
      <c r="F21">
        <v>7</v>
      </c>
      <c r="G21">
        <v>862.42</v>
      </c>
      <c r="H21">
        <v>6036.94</v>
      </c>
      <c r="I21" t="str">
        <f>TEXT(SalesData[[#This Row],[Order Date]],"mmm-yyyy")</f>
        <v>Sep-2025</v>
      </c>
    </row>
    <row r="22" spans="1:9" x14ac:dyDescent="0.3">
      <c r="A22" s="1">
        <v>45319</v>
      </c>
      <c r="B22" t="s">
        <v>8</v>
      </c>
      <c r="C22" t="s">
        <v>15</v>
      </c>
      <c r="D22" t="s">
        <v>16</v>
      </c>
      <c r="E22" t="s">
        <v>26</v>
      </c>
      <c r="F22">
        <v>3</v>
      </c>
      <c r="G22">
        <v>408.95</v>
      </c>
      <c r="H22">
        <v>1226.8499999999999</v>
      </c>
      <c r="I22" t="str">
        <f>TEXT(SalesData[[#This Row],[Order Date]],"mmm-yyyy")</f>
        <v>Jan-2024</v>
      </c>
    </row>
    <row r="23" spans="1:9" x14ac:dyDescent="0.3">
      <c r="A23" s="1">
        <v>45866</v>
      </c>
      <c r="B23" t="s">
        <v>8</v>
      </c>
      <c r="C23" t="s">
        <v>18</v>
      </c>
      <c r="D23" t="s">
        <v>19</v>
      </c>
      <c r="E23" t="s">
        <v>28</v>
      </c>
      <c r="F23">
        <v>5</v>
      </c>
      <c r="G23">
        <v>835.11</v>
      </c>
      <c r="H23">
        <v>4175.55</v>
      </c>
      <c r="I23" t="str">
        <f>TEXT(SalesData[[#This Row],[Order Date]],"mmm-yyyy")</f>
        <v>Jul-2025</v>
      </c>
    </row>
    <row r="24" spans="1:9" x14ac:dyDescent="0.3">
      <c r="A24" s="1">
        <v>45495</v>
      </c>
      <c r="B24" t="s">
        <v>20</v>
      </c>
      <c r="C24" t="s">
        <v>9</v>
      </c>
      <c r="D24" t="s">
        <v>10</v>
      </c>
      <c r="E24" t="s">
        <v>28</v>
      </c>
      <c r="F24">
        <v>8</v>
      </c>
      <c r="G24">
        <v>28.75</v>
      </c>
      <c r="H24">
        <v>230</v>
      </c>
      <c r="I24" t="str">
        <f>TEXT(SalesData[[#This Row],[Order Date]],"mmm-yyyy")</f>
        <v>Jul-2024</v>
      </c>
    </row>
    <row r="25" spans="1:9" x14ac:dyDescent="0.3">
      <c r="A25" s="1">
        <v>45957</v>
      </c>
      <c r="B25" t="s">
        <v>8</v>
      </c>
      <c r="C25" t="s">
        <v>15</v>
      </c>
      <c r="D25" t="s">
        <v>16</v>
      </c>
      <c r="E25" t="s">
        <v>23</v>
      </c>
      <c r="F25">
        <v>5</v>
      </c>
      <c r="G25">
        <v>389.31</v>
      </c>
      <c r="H25">
        <v>1946.55</v>
      </c>
      <c r="I25" t="str">
        <f>TEXT(SalesData[[#This Row],[Order Date]],"mmm-yyyy")</f>
        <v>Oct-2025</v>
      </c>
    </row>
    <row r="26" spans="1:9" x14ac:dyDescent="0.3">
      <c r="A26" s="1">
        <v>46010</v>
      </c>
      <c r="B26" t="s">
        <v>12</v>
      </c>
      <c r="C26" t="s">
        <v>24</v>
      </c>
      <c r="D26" t="s">
        <v>19</v>
      </c>
      <c r="E26" t="s">
        <v>27</v>
      </c>
      <c r="F26">
        <v>8</v>
      </c>
      <c r="G26">
        <v>247.8</v>
      </c>
      <c r="H26">
        <v>1982.4</v>
      </c>
      <c r="I26" t="str">
        <f>TEXT(SalesData[[#This Row],[Order Date]],"mmm-yyyy")</f>
        <v>Dec-2025</v>
      </c>
    </row>
    <row r="27" spans="1:9" x14ac:dyDescent="0.3">
      <c r="A27" s="1">
        <v>45850</v>
      </c>
      <c r="B27" t="s">
        <v>12</v>
      </c>
      <c r="C27" t="s">
        <v>25</v>
      </c>
      <c r="D27" t="s">
        <v>16</v>
      </c>
      <c r="E27" t="s">
        <v>27</v>
      </c>
      <c r="F27">
        <v>4</v>
      </c>
      <c r="G27">
        <v>190.27</v>
      </c>
      <c r="H27">
        <v>761.08</v>
      </c>
      <c r="I27" t="str">
        <f>TEXT(SalesData[[#This Row],[Order Date]],"mmm-yyyy")</f>
        <v>Jul-2025</v>
      </c>
    </row>
    <row r="28" spans="1:9" x14ac:dyDescent="0.3">
      <c r="A28" s="1">
        <v>45721</v>
      </c>
      <c r="B28" t="s">
        <v>14</v>
      </c>
      <c r="C28" t="s">
        <v>18</v>
      </c>
      <c r="D28" t="s">
        <v>19</v>
      </c>
      <c r="E28" t="s">
        <v>27</v>
      </c>
      <c r="F28">
        <v>4</v>
      </c>
      <c r="G28">
        <v>845.94</v>
      </c>
      <c r="H28">
        <v>3383.76</v>
      </c>
      <c r="I28" t="str">
        <f>TEXT(SalesData[[#This Row],[Order Date]],"mmm-yyyy")</f>
        <v>Mar-2025</v>
      </c>
    </row>
    <row r="29" spans="1:9" x14ac:dyDescent="0.3">
      <c r="A29" s="1">
        <v>45517</v>
      </c>
      <c r="B29" t="s">
        <v>14</v>
      </c>
      <c r="C29" t="s">
        <v>21</v>
      </c>
      <c r="D29" t="s">
        <v>10</v>
      </c>
      <c r="E29" t="s">
        <v>17</v>
      </c>
      <c r="F29">
        <v>4</v>
      </c>
      <c r="G29">
        <v>45.13</v>
      </c>
      <c r="H29">
        <v>180.52</v>
      </c>
      <c r="I29" t="str">
        <f>TEXT(SalesData[[#This Row],[Order Date]],"mmm-yyyy")</f>
        <v>Aug-2024</v>
      </c>
    </row>
    <row r="30" spans="1:9" x14ac:dyDescent="0.3">
      <c r="A30" s="1">
        <v>45751</v>
      </c>
      <c r="B30" t="s">
        <v>8</v>
      </c>
      <c r="C30" t="s">
        <v>24</v>
      </c>
      <c r="D30" t="s">
        <v>19</v>
      </c>
      <c r="E30" t="s">
        <v>23</v>
      </c>
      <c r="F30">
        <v>4</v>
      </c>
      <c r="G30">
        <v>254.62</v>
      </c>
      <c r="H30">
        <v>1018.48</v>
      </c>
      <c r="I30" t="str">
        <f>TEXT(SalesData[[#This Row],[Order Date]],"mmm-yyyy")</f>
        <v>Apr-2025</v>
      </c>
    </row>
    <row r="31" spans="1:9" x14ac:dyDescent="0.3">
      <c r="A31" s="1">
        <v>45895</v>
      </c>
      <c r="B31" t="s">
        <v>12</v>
      </c>
      <c r="C31" t="s">
        <v>25</v>
      </c>
      <c r="D31" t="s">
        <v>16</v>
      </c>
      <c r="E31" t="s">
        <v>26</v>
      </c>
      <c r="F31">
        <v>3</v>
      </c>
      <c r="G31">
        <v>163.66999999999999</v>
      </c>
      <c r="H31">
        <v>491.01</v>
      </c>
      <c r="I31" t="str">
        <f>TEXT(SalesData[[#This Row],[Order Date]],"mmm-yyyy")</f>
        <v>Aug-2025</v>
      </c>
    </row>
    <row r="32" spans="1:9" x14ac:dyDescent="0.3">
      <c r="A32" s="1">
        <v>45576</v>
      </c>
      <c r="B32" t="s">
        <v>12</v>
      </c>
      <c r="C32" t="s">
        <v>29</v>
      </c>
      <c r="D32" t="s">
        <v>30</v>
      </c>
      <c r="E32" t="s">
        <v>23</v>
      </c>
      <c r="F32">
        <v>2</v>
      </c>
      <c r="G32">
        <v>326.88</v>
      </c>
      <c r="H32">
        <v>653.76</v>
      </c>
      <c r="I32" t="str">
        <f>TEXT(SalesData[[#This Row],[Order Date]],"mmm-yyyy")</f>
        <v>Oct-2024</v>
      </c>
    </row>
    <row r="33" spans="1:9" x14ac:dyDescent="0.3">
      <c r="A33" s="1">
        <v>45298</v>
      </c>
      <c r="B33" t="s">
        <v>14</v>
      </c>
      <c r="C33" t="s">
        <v>15</v>
      </c>
      <c r="D33" t="s">
        <v>16</v>
      </c>
      <c r="E33" t="s">
        <v>13</v>
      </c>
      <c r="F33">
        <v>7</v>
      </c>
      <c r="G33">
        <v>373.64</v>
      </c>
      <c r="H33">
        <v>2615.48</v>
      </c>
      <c r="I33" t="str">
        <f>TEXT(SalesData[[#This Row],[Order Date]],"mmm-yyyy")</f>
        <v>Jan-2024</v>
      </c>
    </row>
    <row r="34" spans="1:9" x14ac:dyDescent="0.3">
      <c r="A34" s="1">
        <v>45455</v>
      </c>
      <c r="B34" t="s">
        <v>20</v>
      </c>
      <c r="C34" t="s">
        <v>9</v>
      </c>
      <c r="D34" t="s">
        <v>10</v>
      </c>
      <c r="E34" t="s">
        <v>13</v>
      </c>
      <c r="F34">
        <v>2</v>
      </c>
      <c r="G34">
        <v>27.39</v>
      </c>
      <c r="H34">
        <v>54.78</v>
      </c>
      <c r="I34" t="str">
        <f>TEXT(SalesData[[#This Row],[Order Date]],"mmm-yyyy")</f>
        <v>Jun-2024</v>
      </c>
    </row>
    <row r="35" spans="1:9" x14ac:dyDescent="0.3">
      <c r="A35" s="1">
        <v>46006</v>
      </c>
      <c r="B35" t="s">
        <v>8</v>
      </c>
      <c r="C35" t="s">
        <v>18</v>
      </c>
      <c r="D35" t="s">
        <v>19</v>
      </c>
      <c r="E35" t="s">
        <v>28</v>
      </c>
      <c r="F35">
        <v>6</v>
      </c>
      <c r="G35">
        <v>980.8</v>
      </c>
      <c r="H35">
        <v>5884.8</v>
      </c>
      <c r="I35" t="str">
        <f>TEXT(SalesData[[#This Row],[Order Date]],"mmm-yyyy")</f>
        <v>Dec-2025</v>
      </c>
    </row>
    <row r="36" spans="1:9" x14ac:dyDescent="0.3">
      <c r="A36" s="1">
        <v>45724</v>
      </c>
      <c r="B36" t="s">
        <v>12</v>
      </c>
      <c r="C36" t="s">
        <v>24</v>
      </c>
      <c r="D36" t="s">
        <v>19</v>
      </c>
      <c r="E36" t="s">
        <v>11</v>
      </c>
      <c r="F36">
        <v>6</v>
      </c>
      <c r="G36">
        <v>273.27999999999997</v>
      </c>
      <c r="H36">
        <v>1639.68</v>
      </c>
      <c r="I36" t="str">
        <f>TEXT(SalesData[[#This Row],[Order Date]],"mmm-yyyy")</f>
        <v>Mar-2025</v>
      </c>
    </row>
    <row r="37" spans="1:9" x14ac:dyDescent="0.3">
      <c r="A37" s="1">
        <v>45640</v>
      </c>
      <c r="B37" t="s">
        <v>8</v>
      </c>
      <c r="C37" t="s">
        <v>22</v>
      </c>
      <c r="D37" t="s">
        <v>10</v>
      </c>
      <c r="E37" t="s">
        <v>28</v>
      </c>
      <c r="F37">
        <v>2</v>
      </c>
      <c r="G37">
        <v>74.319999999999993</v>
      </c>
      <c r="H37">
        <v>148.63999999999999</v>
      </c>
      <c r="I37" t="str">
        <f>TEXT(SalesData[[#This Row],[Order Date]],"mmm-yyyy")</f>
        <v>Dec-2024</v>
      </c>
    </row>
    <row r="38" spans="1:9" x14ac:dyDescent="0.3">
      <c r="A38" s="1">
        <v>45576</v>
      </c>
      <c r="B38" t="s">
        <v>8</v>
      </c>
      <c r="C38" t="s">
        <v>22</v>
      </c>
      <c r="D38" t="s">
        <v>10</v>
      </c>
      <c r="E38" t="s">
        <v>26</v>
      </c>
      <c r="F38">
        <v>3</v>
      </c>
      <c r="G38">
        <v>67.260000000000005</v>
      </c>
      <c r="H38">
        <v>201.78</v>
      </c>
      <c r="I38" t="str">
        <f>TEXT(SalesData[[#This Row],[Order Date]],"mmm-yyyy")</f>
        <v>Oct-2024</v>
      </c>
    </row>
    <row r="39" spans="1:9" x14ac:dyDescent="0.3">
      <c r="A39" s="1">
        <v>45451</v>
      </c>
      <c r="B39" t="s">
        <v>8</v>
      </c>
      <c r="C39" t="s">
        <v>29</v>
      </c>
      <c r="D39" t="s">
        <v>30</v>
      </c>
      <c r="E39" t="s">
        <v>11</v>
      </c>
      <c r="F39">
        <v>8</v>
      </c>
      <c r="G39">
        <v>294.25</v>
      </c>
      <c r="H39">
        <v>2354</v>
      </c>
      <c r="I39" t="str">
        <f>TEXT(SalesData[[#This Row],[Order Date]],"mmm-yyyy")</f>
        <v>Jun-2024</v>
      </c>
    </row>
    <row r="40" spans="1:9" x14ac:dyDescent="0.3">
      <c r="A40" s="1">
        <v>45512</v>
      </c>
      <c r="B40" t="s">
        <v>14</v>
      </c>
      <c r="C40" t="s">
        <v>29</v>
      </c>
      <c r="D40" t="s">
        <v>30</v>
      </c>
      <c r="E40" t="s">
        <v>13</v>
      </c>
      <c r="F40">
        <v>6</v>
      </c>
      <c r="G40">
        <v>331.79</v>
      </c>
      <c r="H40">
        <v>1990.74</v>
      </c>
      <c r="I40" t="str">
        <f>TEXT(SalesData[[#This Row],[Order Date]],"mmm-yyyy")</f>
        <v>Aug-2024</v>
      </c>
    </row>
    <row r="41" spans="1:9" x14ac:dyDescent="0.3">
      <c r="A41" s="1">
        <v>45636</v>
      </c>
      <c r="B41" t="s">
        <v>14</v>
      </c>
      <c r="C41" t="s">
        <v>29</v>
      </c>
      <c r="D41" t="s">
        <v>30</v>
      </c>
      <c r="E41" t="s">
        <v>17</v>
      </c>
      <c r="F41">
        <v>8</v>
      </c>
      <c r="G41">
        <v>316.17</v>
      </c>
      <c r="H41">
        <v>2529.36</v>
      </c>
      <c r="I41" t="str">
        <f>TEXT(SalesData[[#This Row],[Order Date]],"mmm-yyyy")</f>
        <v>Dec-2024</v>
      </c>
    </row>
    <row r="42" spans="1:9" x14ac:dyDescent="0.3">
      <c r="A42" s="1">
        <v>45396</v>
      </c>
      <c r="B42" t="s">
        <v>12</v>
      </c>
      <c r="C42" t="s">
        <v>15</v>
      </c>
      <c r="D42" t="s">
        <v>16</v>
      </c>
      <c r="E42" t="s">
        <v>17</v>
      </c>
      <c r="F42">
        <v>6</v>
      </c>
      <c r="G42">
        <v>369.76</v>
      </c>
      <c r="H42">
        <v>2218.56</v>
      </c>
      <c r="I42" t="str">
        <f>TEXT(SalesData[[#This Row],[Order Date]],"mmm-yyyy")</f>
        <v>Apr-2024</v>
      </c>
    </row>
    <row r="43" spans="1:9" x14ac:dyDescent="0.3">
      <c r="A43" s="1">
        <v>45386</v>
      </c>
      <c r="B43" t="s">
        <v>8</v>
      </c>
      <c r="C43" t="s">
        <v>25</v>
      </c>
      <c r="D43" t="s">
        <v>16</v>
      </c>
      <c r="E43" t="s">
        <v>31</v>
      </c>
      <c r="F43">
        <v>3</v>
      </c>
      <c r="G43">
        <v>179.83</v>
      </c>
      <c r="H43">
        <v>539.49</v>
      </c>
      <c r="I43" t="str">
        <f>TEXT(SalesData[[#This Row],[Order Date]],"mmm-yyyy")</f>
        <v>Apr-2024</v>
      </c>
    </row>
    <row r="44" spans="1:9" x14ac:dyDescent="0.3">
      <c r="A44" s="1">
        <v>45681</v>
      </c>
      <c r="B44" t="s">
        <v>20</v>
      </c>
      <c r="C44" t="s">
        <v>25</v>
      </c>
      <c r="D44" t="s">
        <v>16</v>
      </c>
      <c r="E44" t="s">
        <v>23</v>
      </c>
      <c r="F44">
        <v>5</v>
      </c>
      <c r="G44">
        <v>163.24</v>
      </c>
      <c r="H44">
        <v>816.2</v>
      </c>
      <c r="I44" t="str">
        <f>TEXT(SalesData[[#This Row],[Order Date]],"mmm-yyyy")</f>
        <v>Jan-2025</v>
      </c>
    </row>
    <row r="45" spans="1:9" x14ac:dyDescent="0.3">
      <c r="A45" s="1">
        <v>45391</v>
      </c>
      <c r="B45" t="s">
        <v>14</v>
      </c>
      <c r="C45" t="s">
        <v>29</v>
      </c>
      <c r="D45" t="s">
        <v>30</v>
      </c>
      <c r="E45" t="s">
        <v>13</v>
      </c>
      <c r="F45">
        <v>1</v>
      </c>
      <c r="G45">
        <v>346.2</v>
      </c>
      <c r="H45">
        <v>346.2</v>
      </c>
      <c r="I45" t="str">
        <f>TEXT(SalesData[[#This Row],[Order Date]],"mmm-yyyy")</f>
        <v>Apr-2024</v>
      </c>
    </row>
    <row r="46" spans="1:9" x14ac:dyDescent="0.3">
      <c r="A46" s="1">
        <v>45659</v>
      </c>
      <c r="B46" t="s">
        <v>8</v>
      </c>
      <c r="C46" t="s">
        <v>9</v>
      </c>
      <c r="D46" t="s">
        <v>10</v>
      </c>
      <c r="E46" t="s">
        <v>31</v>
      </c>
      <c r="F46">
        <v>7</v>
      </c>
      <c r="G46">
        <v>28.55</v>
      </c>
      <c r="H46">
        <v>199.85</v>
      </c>
      <c r="I46" t="str">
        <f>TEXT(SalesData[[#This Row],[Order Date]],"mmm-yyyy")</f>
        <v>Jan-2025</v>
      </c>
    </row>
    <row r="47" spans="1:9" x14ac:dyDescent="0.3">
      <c r="A47" s="1">
        <v>45644</v>
      </c>
      <c r="B47" t="s">
        <v>8</v>
      </c>
      <c r="C47" t="s">
        <v>22</v>
      </c>
      <c r="D47" t="s">
        <v>10</v>
      </c>
      <c r="E47" t="s">
        <v>27</v>
      </c>
      <c r="F47">
        <v>8</v>
      </c>
      <c r="G47">
        <v>72.28</v>
      </c>
      <c r="H47">
        <v>578.24</v>
      </c>
      <c r="I47" t="str">
        <f>TEXT(SalesData[[#This Row],[Order Date]],"mmm-yyyy")</f>
        <v>Dec-2024</v>
      </c>
    </row>
    <row r="48" spans="1:9" x14ac:dyDescent="0.3">
      <c r="A48" s="1">
        <v>45910</v>
      </c>
      <c r="B48" t="s">
        <v>14</v>
      </c>
      <c r="C48" t="s">
        <v>24</v>
      </c>
      <c r="D48" t="s">
        <v>19</v>
      </c>
      <c r="E48" t="s">
        <v>11</v>
      </c>
      <c r="F48">
        <v>5</v>
      </c>
      <c r="G48">
        <v>240.59</v>
      </c>
      <c r="H48">
        <v>1202.95</v>
      </c>
      <c r="I48" t="str">
        <f>TEXT(SalesData[[#This Row],[Order Date]],"mmm-yyyy")</f>
        <v>Sep-2025</v>
      </c>
    </row>
    <row r="49" spans="1:9" x14ac:dyDescent="0.3">
      <c r="A49" s="1">
        <v>45562</v>
      </c>
      <c r="B49" t="s">
        <v>20</v>
      </c>
      <c r="C49" t="s">
        <v>9</v>
      </c>
      <c r="D49" t="s">
        <v>10</v>
      </c>
      <c r="E49" t="s">
        <v>17</v>
      </c>
      <c r="F49">
        <v>5</v>
      </c>
      <c r="G49">
        <v>30.12</v>
      </c>
      <c r="H49">
        <v>150.6</v>
      </c>
      <c r="I49" t="str">
        <f>TEXT(SalesData[[#This Row],[Order Date]],"mmm-yyyy")</f>
        <v>Sep-2024</v>
      </c>
    </row>
    <row r="50" spans="1:9" x14ac:dyDescent="0.3">
      <c r="A50" s="1">
        <v>45336</v>
      </c>
      <c r="B50" t="s">
        <v>20</v>
      </c>
      <c r="C50" t="s">
        <v>25</v>
      </c>
      <c r="D50" t="s">
        <v>16</v>
      </c>
      <c r="E50" t="s">
        <v>28</v>
      </c>
      <c r="F50">
        <v>7</v>
      </c>
      <c r="G50">
        <v>181.68</v>
      </c>
      <c r="H50">
        <v>1271.76</v>
      </c>
      <c r="I50" t="str">
        <f>TEXT(SalesData[[#This Row],[Order Date]],"mmm-yyyy")</f>
        <v>Feb-2024</v>
      </c>
    </row>
    <row r="51" spans="1:9" x14ac:dyDescent="0.3">
      <c r="A51" s="1">
        <v>45762</v>
      </c>
      <c r="B51" t="s">
        <v>20</v>
      </c>
      <c r="C51" t="s">
        <v>22</v>
      </c>
      <c r="D51" t="s">
        <v>10</v>
      </c>
      <c r="E51" t="s">
        <v>23</v>
      </c>
      <c r="F51">
        <v>5</v>
      </c>
      <c r="G51">
        <v>65.59</v>
      </c>
      <c r="H51">
        <v>327.95</v>
      </c>
      <c r="I51" t="str">
        <f>TEXT(SalesData[[#This Row],[Order Date]],"mmm-yyyy")</f>
        <v>Apr-2025</v>
      </c>
    </row>
    <row r="52" spans="1:9" x14ac:dyDescent="0.3">
      <c r="A52" s="1">
        <v>45841</v>
      </c>
      <c r="B52" t="s">
        <v>14</v>
      </c>
      <c r="C52" t="s">
        <v>9</v>
      </c>
      <c r="D52" t="s">
        <v>10</v>
      </c>
      <c r="E52" t="s">
        <v>28</v>
      </c>
      <c r="F52">
        <v>2</v>
      </c>
      <c r="G52">
        <v>32.82</v>
      </c>
      <c r="H52">
        <v>65.64</v>
      </c>
      <c r="I52" t="str">
        <f>TEXT(SalesData[[#This Row],[Order Date]],"mmm-yyyy")</f>
        <v>Jul-2025</v>
      </c>
    </row>
    <row r="53" spans="1:9" x14ac:dyDescent="0.3">
      <c r="A53" s="1">
        <v>45419</v>
      </c>
      <c r="B53" t="s">
        <v>14</v>
      </c>
      <c r="C53" t="s">
        <v>24</v>
      </c>
      <c r="D53" t="s">
        <v>19</v>
      </c>
      <c r="E53" t="s">
        <v>31</v>
      </c>
      <c r="F53">
        <v>3</v>
      </c>
      <c r="G53">
        <v>263.76</v>
      </c>
      <c r="H53">
        <v>791.28</v>
      </c>
      <c r="I53" t="str">
        <f>TEXT(SalesData[[#This Row],[Order Date]],"mmm-yyyy")</f>
        <v>May-2024</v>
      </c>
    </row>
    <row r="54" spans="1:9" x14ac:dyDescent="0.3">
      <c r="A54" s="1">
        <v>45679</v>
      </c>
      <c r="B54" t="s">
        <v>20</v>
      </c>
      <c r="C54" t="s">
        <v>22</v>
      </c>
      <c r="D54" t="s">
        <v>10</v>
      </c>
      <c r="E54" t="s">
        <v>13</v>
      </c>
      <c r="F54">
        <v>5</v>
      </c>
      <c r="G54">
        <v>76.150000000000006</v>
      </c>
      <c r="H54">
        <v>380.75</v>
      </c>
      <c r="I54" t="str">
        <f>TEXT(SalesData[[#This Row],[Order Date]],"mmm-yyyy")</f>
        <v>Jan-2025</v>
      </c>
    </row>
    <row r="55" spans="1:9" x14ac:dyDescent="0.3">
      <c r="A55" s="1">
        <v>45372</v>
      </c>
      <c r="B55" t="s">
        <v>14</v>
      </c>
      <c r="C55" t="s">
        <v>9</v>
      </c>
      <c r="D55" t="s">
        <v>10</v>
      </c>
      <c r="E55" t="s">
        <v>28</v>
      </c>
      <c r="F55">
        <v>5</v>
      </c>
      <c r="G55">
        <v>32.369999999999997</v>
      </c>
      <c r="H55">
        <v>161.85</v>
      </c>
      <c r="I55" t="str">
        <f>TEXT(SalesData[[#This Row],[Order Date]],"mmm-yyyy")</f>
        <v>Mar-2024</v>
      </c>
    </row>
    <row r="56" spans="1:9" x14ac:dyDescent="0.3">
      <c r="A56" s="1">
        <v>45857</v>
      </c>
      <c r="B56" t="s">
        <v>12</v>
      </c>
      <c r="C56" t="s">
        <v>21</v>
      </c>
      <c r="D56" t="s">
        <v>10</v>
      </c>
      <c r="E56" t="s">
        <v>26</v>
      </c>
      <c r="F56">
        <v>5</v>
      </c>
      <c r="G56">
        <v>45.88</v>
      </c>
      <c r="H56">
        <v>229.4</v>
      </c>
      <c r="I56" t="str">
        <f>TEXT(SalesData[[#This Row],[Order Date]],"mmm-yyyy")</f>
        <v>Jul-2025</v>
      </c>
    </row>
    <row r="57" spans="1:9" x14ac:dyDescent="0.3">
      <c r="A57" s="1">
        <v>45592</v>
      </c>
      <c r="B57" t="s">
        <v>12</v>
      </c>
      <c r="C57" t="s">
        <v>29</v>
      </c>
      <c r="D57" t="s">
        <v>30</v>
      </c>
      <c r="E57" t="s">
        <v>23</v>
      </c>
      <c r="F57">
        <v>1</v>
      </c>
      <c r="G57">
        <v>347</v>
      </c>
      <c r="H57">
        <v>347</v>
      </c>
      <c r="I57" t="str">
        <f>TEXT(SalesData[[#This Row],[Order Date]],"mmm-yyyy")</f>
        <v>Oct-2024</v>
      </c>
    </row>
    <row r="58" spans="1:9" x14ac:dyDescent="0.3">
      <c r="A58" s="1">
        <v>45935</v>
      </c>
      <c r="B58" t="s">
        <v>12</v>
      </c>
      <c r="C58" t="s">
        <v>21</v>
      </c>
      <c r="D58" t="s">
        <v>10</v>
      </c>
      <c r="E58" t="s">
        <v>27</v>
      </c>
      <c r="F58">
        <v>8</v>
      </c>
      <c r="G58">
        <v>41.3</v>
      </c>
      <c r="H58">
        <v>330.4</v>
      </c>
      <c r="I58" t="str">
        <f>TEXT(SalesData[[#This Row],[Order Date]],"mmm-yyyy")</f>
        <v>Oct-2025</v>
      </c>
    </row>
    <row r="59" spans="1:9" x14ac:dyDescent="0.3">
      <c r="A59" s="1">
        <v>45925</v>
      </c>
      <c r="B59" t="s">
        <v>8</v>
      </c>
      <c r="C59" t="s">
        <v>29</v>
      </c>
      <c r="D59" t="s">
        <v>30</v>
      </c>
      <c r="E59" t="s">
        <v>17</v>
      </c>
      <c r="F59">
        <v>8</v>
      </c>
      <c r="G59">
        <v>300.54000000000002</v>
      </c>
      <c r="H59">
        <v>2404.3200000000002</v>
      </c>
      <c r="I59" t="str">
        <f>TEXT(SalesData[[#This Row],[Order Date]],"mmm-yyyy")</f>
        <v>Sep-2025</v>
      </c>
    </row>
    <row r="60" spans="1:9" x14ac:dyDescent="0.3">
      <c r="A60" s="1">
        <v>45662</v>
      </c>
      <c r="B60" t="s">
        <v>12</v>
      </c>
      <c r="C60" t="s">
        <v>25</v>
      </c>
      <c r="D60" t="s">
        <v>16</v>
      </c>
      <c r="E60" t="s">
        <v>23</v>
      </c>
      <c r="F60">
        <v>3</v>
      </c>
      <c r="G60">
        <v>163.63</v>
      </c>
      <c r="H60">
        <v>490.89</v>
      </c>
      <c r="I60" t="str">
        <f>TEXT(SalesData[[#This Row],[Order Date]],"mmm-yyyy")</f>
        <v>Jan-2025</v>
      </c>
    </row>
    <row r="61" spans="1:9" x14ac:dyDescent="0.3">
      <c r="A61" s="1">
        <v>45883</v>
      </c>
      <c r="B61" t="s">
        <v>12</v>
      </c>
      <c r="C61" t="s">
        <v>22</v>
      </c>
      <c r="D61" t="s">
        <v>10</v>
      </c>
      <c r="E61" t="s">
        <v>11</v>
      </c>
      <c r="F61">
        <v>2</v>
      </c>
      <c r="G61">
        <v>67.55</v>
      </c>
      <c r="H61">
        <v>135.1</v>
      </c>
      <c r="I61" t="str">
        <f>TEXT(SalesData[[#This Row],[Order Date]],"mmm-yyyy")</f>
        <v>Aug-2025</v>
      </c>
    </row>
    <row r="62" spans="1:9" x14ac:dyDescent="0.3">
      <c r="A62" s="1">
        <v>45488</v>
      </c>
      <c r="B62" t="s">
        <v>12</v>
      </c>
      <c r="C62" t="s">
        <v>22</v>
      </c>
      <c r="D62" t="s">
        <v>10</v>
      </c>
      <c r="E62" t="s">
        <v>26</v>
      </c>
      <c r="F62">
        <v>2</v>
      </c>
      <c r="G62">
        <v>68.44</v>
      </c>
      <c r="H62">
        <v>136.88</v>
      </c>
      <c r="I62" t="str">
        <f>TEXT(SalesData[[#This Row],[Order Date]],"mmm-yyyy")</f>
        <v>Jul-2024</v>
      </c>
    </row>
    <row r="63" spans="1:9" x14ac:dyDescent="0.3">
      <c r="A63" s="1">
        <v>46013</v>
      </c>
      <c r="B63" t="s">
        <v>12</v>
      </c>
      <c r="C63" t="s">
        <v>21</v>
      </c>
      <c r="D63" t="s">
        <v>10</v>
      </c>
      <c r="E63" t="s">
        <v>31</v>
      </c>
      <c r="F63">
        <v>5</v>
      </c>
      <c r="G63">
        <v>42.94</v>
      </c>
      <c r="H63">
        <v>214.7</v>
      </c>
      <c r="I63" t="str">
        <f>TEXT(SalesData[[#This Row],[Order Date]],"mmm-yyyy")</f>
        <v>Dec-2025</v>
      </c>
    </row>
    <row r="64" spans="1:9" x14ac:dyDescent="0.3">
      <c r="A64" s="1">
        <v>45363</v>
      </c>
      <c r="B64" t="s">
        <v>14</v>
      </c>
      <c r="C64" t="s">
        <v>24</v>
      </c>
      <c r="D64" t="s">
        <v>19</v>
      </c>
      <c r="E64" t="s">
        <v>11</v>
      </c>
      <c r="F64">
        <v>7</v>
      </c>
      <c r="G64">
        <v>266.44</v>
      </c>
      <c r="H64">
        <v>1865.08</v>
      </c>
      <c r="I64" t="str">
        <f>TEXT(SalesData[[#This Row],[Order Date]],"mmm-yyyy")</f>
        <v>Mar-2024</v>
      </c>
    </row>
    <row r="65" spans="1:9" x14ac:dyDescent="0.3">
      <c r="A65" s="1">
        <v>45338</v>
      </c>
      <c r="B65" t="s">
        <v>20</v>
      </c>
      <c r="C65" t="s">
        <v>22</v>
      </c>
      <c r="D65" t="s">
        <v>10</v>
      </c>
      <c r="E65" t="s">
        <v>11</v>
      </c>
      <c r="F65">
        <v>8</v>
      </c>
      <c r="G65">
        <v>67.989999999999995</v>
      </c>
      <c r="H65">
        <v>543.91999999999996</v>
      </c>
      <c r="I65" t="str">
        <f>TEXT(SalesData[[#This Row],[Order Date]],"mmm-yyyy")</f>
        <v>Feb-2024</v>
      </c>
    </row>
    <row r="66" spans="1:9" x14ac:dyDescent="0.3">
      <c r="A66" s="1">
        <v>45969</v>
      </c>
      <c r="B66" t="s">
        <v>12</v>
      </c>
      <c r="C66" t="s">
        <v>29</v>
      </c>
      <c r="D66" t="s">
        <v>30</v>
      </c>
      <c r="E66" t="s">
        <v>31</v>
      </c>
      <c r="F66">
        <v>1</v>
      </c>
      <c r="G66">
        <v>305.98</v>
      </c>
      <c r="H66">
        <v>305.98</v>
      </c>
      <c r="I66" t="str">
        <f>TEXT(SalesData[[#This Row],[Order Date]],"mmm-yyyy")</f>
        <v>Nov-2025</v>
      </c>
    </row>
    <row r="67" spans="1:9" x14ac:dyDescent="0.3">
      <c r="A67" s="1">
        <v>45525</v>
      </c>
      <c r="B67" t="s">
        <v>12</v>
      </c>
      <c r="C67" t="s">
        <v>9</v>
      </c>
      <c r="D67" t="s">
        <v>10</v>
      </c>
      <c r="E67" t="s">
        <v>26</v>
      </c>
      <c r="F67">
        <v>5</v>
      </c>
      <c r="G67">
        <v>30.26</v>
      </c>
      <c r="H67">
        <v>151.30000000000001</v>
      </c>
      <c r="I67" t="str">
        <f>TEXT(SalesData[[#This Row],[Order Date]],"mmm-yyyy")</f>
        <v>Aug-2024</v>
      </c>
    </row>
    <row r="68" spans="1:9" x14ac:dyDescent="0.3">
      <c r="A68" s="1">
        <v>45588</v>
      </c>
      <c r="B68" t="s">
        <v>12</v>
      </c>
      <c r="C68" t="s">
        <v>9</v>
      </c>
      <c r="D68" t="s">
        <v>10</v>
      </c>
      <c r="E68" t="s">
        <v>26</v>
      </c>
      <c r="F68">
        <v>3</v>
      </c>
      <c r="G68">
        <v>27.85</v>
      </c>
      <c r="H68">
        <v>83.55</v>
      </c>
      <c r="I68" t="str">
        <f>TEXT(SalesData[[#This Row],[Order Date]],"mmm-yyyy")</f>
        <v>Oct-2024</v>
      </c>
    </row>
    <row r="69" spans="1:9" x14ac:dyDescent="0.3">
      <c r="A69" s="1">
        <v>45373</v>
      </c>
      <c r="B69" t="s">
        <v>8</v>
      </c>
      <c r="C69" t="s">
        <v>18</v>
      </c>
      <c r="D69" t="s">
        <v>19</v>
      </c>
      <c r="E69" t="s">
        <v>17</v>
      </c>
      <c r="F69">
        <v>7</v>
      </c>
      <c r="G69">
        <v>954.4</v>
      </c>
      <c r="H69">
        <v>6680.8</v>
      </c>
      <c r="I69" t="str">
        <f>TEXT(SalesData[[#This Row],[Order Date]],"mmm-yyyy")</f>
        <v>Mar-2024</v>
      </c>
    </row>
    <row r="70" spans="1:9" x14ac:dyDescent="0.3">
      <c r="A70" s="1">
        <v>45530</v>
      </c>
      <c r="B70" t="s">
        <v>14</v>
      </c>
      <c r="C70" t="s">
        <v>29</v>
      </c>
      <c r="D70" t="s">
        <v>30</v>
      </c>
      <c r="E70" t="s">
        <v>23</v>
      </c>
      <c r="F70">
        <v>1</v>
      </c>
      <c r="G70">
        <v>292.77</v>
      </c>
      <c r="H70">
        <v>292.77</v>
      </c>
      <c r="I70" t="str">
        <f>TEXT(SalesData[[#This Row],[Order Date]],"mmm-yyyy")</f>
        <v>Aug-2024</v>
      </c>
    </row>
    <row r="71" spans="1:9" x14ac:dyDescent="0.3">
      <c r="A71" s="1">
        <v>45395</v>
      </c>
      <c r="B71" t="s">
        <v>12</v>
      </c>
      <c r="C71" t="s">
        <v>29</v>
      </c>
      <c r="D71" t="s">
        <v>30</v>
      </c>
      <c r="E71" t="s">
        <v>31</v>
      </c>
      <c r="F71">
        <v>8</v>
      </c>
      <c r="G71">
        <v>351.16</v>
      </c>
      <c r="H71">
        <v>2809.28</v>
      </c>
      <c r="I71" t="str">
        <f>TEXT(SalesData[[#This Row],[Order Date]],"mmm-yyyy")</f>
        <v>Apr-2024</v>
      </c>
    </row>
    <row r="72" spans="1:9" x14ac:dyDescent="0.3">
      <c r="A72" s="1">
        <v>45681</v>
      </c>
      <c r="B72" t="s">
        <v>8</v>
      </c>
      <c r="C72" t="s">
        <v>29</v>
      </c>
      <c r="D72" t="s">
        <v>30</v>
      </c>
      <c r="E72" t="s">
        <v>13</v>
      </c>
      <c r="F72">
        <v>4</v>
      </c>
      <c r="G72">
        <v>337.42</v>
      </c>
      <c r="H72">
        <v>1349.68</v>
      </c>
      <c r="I72" t="str">
        <f>TEXT(SalesData[[#This Row],[Order Date]],"mmm-yyyy")</f>
        <v>Jan-2025</v>
      </c>
    </row>
    <row r="73" spans="1:9" x14ac:dyDescent="0.3">
      <c r="A73" s="1">
        <v>45576</v>
      </c>
      <c r="B73" t="s">
        <v>20</v>
      </c>
      <c r="C73" t="s">
        <v>9</v>
      </c>
      <c r="D73" t="s">
        <v>10</v>
      </c>
      <c r="E73" t="s">
        <v>26</v>
      </c>
      <c r="F73">
        <v>3</v>
      </c>
      <c r="G73">
        <v>28.19</v>
      </c>
      <c r="H73">
        <v>84.57</v>
      </c>
      <c r="I73" t="str">
        <f>TEXT(SalesData[[#This Row],[Order Date]],"mmm-yyyy")</f>
        <v>Oct-2024</v>
      </c>
    </row>
    <row r="74" spans="1:9" x14ac:dyDescent="0.3">
      <c r="A74" s="1">
        <v>45756</v>
      </c>
      <c r="B74" t="s">
        <v>14</v>
      </c>
      <c r="C74" t="s">
        <v>24</v>
      </c>
      <c r="D74" t="s">
        <v>19</v>
      </c>
      <c r="E74" t="s">
        <v>23</v>
      </c>
      <c r="F74">
        <v>1</v>
      </c>
      <c r="G74">
        <v>225.28</v>
      </c>
      <c r="H74">
        <v>225.28</v>
      </c>
      <c r="I74" t="str">
        <f>TEXT(SalesData[[#This Row],[Order Date]],"mmm-yyyy")</f>
        <v>Apr-2025</v>
      </c>
    </row>
    <row r="75" spans="1:9" x14ac:dyDescent="0.3">
      <c r="A75" s="1">
        <v>45942</v>
      </c>
      <c r="B75" t="s">
        <v>12</v>
      </c>
      <c r="C75" t="s">
        <v>29</v>
      </c>
      <c r="D75" t="s">
        <v>30</v>
      </c>
      <c r="E75" t="s">
        <v>17</v>
      </c>
      <c r="F75">
        <v>8</v>
      </c>
      <c r="G75">
        <v>340.19</v>
      </c>
      <c r="H75">
        <v>2721.52</v>
      </c>
      <c r="I75" t="str">
        <f>TEXT(SalesData[[#This Row],[Order Date]],"mmm-yyyy")</f>
        <v>Oct-2025</v>
      </c>
    </row>
    <row r="76" spans="1:9" x14ac:dyDescent="0.3">
      <c r="A76" s="1">
        <v>45665</v>
      </c>
      <c r="B76" t="s">
        <v>20</v>
      </c>
      <c r="C76" t="s">
        <v>29</v>
      </c>
      <c r="D76" t="s">
        <v>30</v>
      </c>
      <c r="E76" t="s">
        <v>17</v>
      </c>
      <c r="F76">
        <v>7</v>
      </c>
      <c r="G76">
        <v>333.24</v>
      </c>
      <c r="H76">
        <v>2332.6799999999998</v>
      </c>
      <c r="I76" t="str">
        <f>TEXT(SalesData[[#This Row],[Order Date]],"mmm-yyyy")</f>
        <v>Jan-2025</v>
      </c>
    </row>
    <row r="77" spans="1:9" x14ac:dyDescent="0.3">
      <c r="A77" s="1">
        <v>45458</v>
      </c>
      <c r="B77" t="s">
        <v>12</v>
      </c>
      <c r="C77" t="s">
        <v>22</v>
      </c>
      <c r="D77" t="s">
        <v>10</v>
      </c>
      <c r="E77" t="s">
        <v>11</v>
      </c>
      <c r="F77">
        <v>2</v>
      </c>
      <c r="G77">
        <v>73.209999999999994</v>
      </c>
      <c r="H77">
        <v>146.41999999999999</v>
      </c>
      <c r="I77" t="str">
        <f>TEXT(SalesData[[#This Row],[Order Date]],"mmm-yyyy")</f>
        <v>Jun-2024</v>
      </c>
    </row>
    <row r="78" spans="1:9" x14ac:dyDescent="0.3">
      <c r="A78" s="1">
        <v>45671</v>
      </c>
      <c r="B78" t="s">
        <v>12</v>
      </c>
      <c r="C78" t="s">
        <v>25</v>
      </c>
      <c r="D78" t="s">
        <v>16</v>
      </c>
      <c r="E78" t="s">
        <v>13</v>
      </c>
      <c r="F78">
        <v>5</v>
      </c>
      <c r="G78">
        <v>189.77</v>
      </c>
      <c r="H78">
        <v>948.85</v>
      </c>
      <c r="I78" t="str">
        <f>TEXT(SalesData[[#This Row],[Order Date]],"mmm-yyyy")</f>
        <v>Jan-2025</v>
      </c>
    </row>
    <row r="79" spans="1:9" x14ac:dyDescent="0.3">
      <c r="A79" s="1">
        <v>45655</v>
      </c>
      <c r="B79" t="s">
        <v>20</v>
      </c>
      <c r="C79" t="s">
        <v>9</v>
      </c>
      <c r="D79" t="s">
        <v>10</v>
      </c>
      <c r="E79" t="s">
        <v>27</v>
      </c>
      <c r="F79">
        <v>1</v>
      </c>
      <c r="G79">
        <v>27.44</v>
      </c>
      <c r="H79">
        <v>27.44</v>
      </c>
      <c r="I79" t="str">
        <f>TEXT(SalesData[[#This Row],[Order Date]],"mmm-yyyy")</f>
        <v>Dec-2024</v>
      </c>
    </row>
    <row r="80" spans="1:9" x14ac:dyDescent="0.3">
      <c r="A80" s="1">
        <v>45506</v>
      </c>
      <c r="B80" t="s">
        <v>8</v>
      </c>
      <c r="C80" t="s">
        <v>21</v>
      </c>
      <c r="D80" t="s">
        <v>10</v>
      </c>
      <c r="E80" t="s">
        <v>23</v>
      </c>
      <c r="F80">
        <v>8</v>
      </c>
      <c r="G80">
        <v>43.73</v>
      </c>
      <c r="H80">
        <v>349.84</v>
      </c>
      <c r="I80" t="str">
        <f>TEXT(SalesData[[#This Row],[Order Date]],"mmm-yyyy")</f>
        <v>Aug-2024</v>
      </c>
    </row>
    <row r="81" spans="1:9" x14ac:dyDescent="0.3">
      <c r="A81" s="1">
        <v>45978</v>
      </c>
      <c r="B81" t="s">
        <v>8</v>
      </c>
      <c r="C81" t="s">
        <v>21</v>
      </c>
      <c r="D81" t="s">
        <v>10</v>
      </c>
      <c r="E81" t="s">
        <v>13</v>
      </c>
      <c r="F81">
        <v>7</v>
      </c>
      <c r="G81">
        <v>41.54</v>
      </c>
      <c r="H81">
        <v>290.77999999999997</v>
      </c>
      <c r="I81" t="str">
        <f>TEXT(SalesData[[#This Row],[Order Date]],"mmm-yyyy")</f>
        <v>Nov-2025</v>
      </c>
    </row>
    <row r="82" spans="1:9" x14ac:dyDescent="0.3">
      <c r="A82" s="1">
        <v>45565</v>
      </c>
      <c r="B82" t="s">
        <v>8</v>
      </c>
      <c r="C82" t="s">
        <v>22</v>
      </c>
      <c r="D82" t="s">
        <v>10</v>
      </c>
      <c r="E82" t="s">
        <v>28</v>
      </c>
      <c r="F82">
        <v>6</v>
      </c>
      <c r="G82">
        <v>75.08</v>
      </c>
      <c r="H82">
        <v>450.48</v>
      </c>
      <c r="I82" t="str">
        <f>TEXT(SalesData[[#This Row],[Order Date]],"mmm-yyyy")</f>
        <v>Sep-2024</v>
      </c>
    </row>
    <row r="83" spans="1:9" x14ac:dyDescent="0.3">
      <c r="A83" s="1">
        <v>46010</v>
      </c>
      <c r="B83" t="s">
        <v>14</v>
      </c>
      <c r="C83" t="s">
        <v>25</v>
      </c>
      <c r="D83" t="s">
        <v>16</v>
      </c>
      <c r="E83" t="s">
        <v>28</v>
      </c>
      <c r="F83">
        <v>2</v>
      </c>
      <c r="G83">
        <v>184.44</v>
      </c>
      <c r="H83">
        <v>368.88</v>
      </c>
      <c r="I83" t="str">
        <f>TEXT(SalesData[[#This Row],[Order Date]],"mmm-yyyy")</f>
        <v>Dec-2025</v>
      </c>
    </row>
    <row r="84" spans="1:9" x14ac:dyDescent="0.3">
      <c r="A84" s="1">
        <v>45991</v>
      </c>
      <c r="B84" t="s">
        <v>20</v>
      </c>
      <c r="C84" t="s">
        <v>15</v>
      </c>
      <c r="D84" t="s">
        <v>16</v>
      </c>
      <c r="E84" t="s">
        <v>11</v>
      </c>
      <c r="F84">
        <v>8</v>
      </c>
      <c r="G84">
        <v>386.47</v>
      </c>
      <c r="H84">
        <v>3091.76</v>
      </c>
      <c r="I84" t="str">
        <f>TEXT(SalesData[[#This Row],[Order Date]],"mmm-yyyy")</f>
        <v>Nov-2025</v>
      </c>
    </row>
    <row r="85" spans="1:9" x14ac:dyDescent="0.3">
      <c r="A85" s="1">
        <v>45955</v>
      </c>
      <c r="B85" t="s">
        <v>12</v>
      </c>
      <c r="C85" t="s">
        <v>18</v>
      </c>
      <c r="D85" t="s">
        <v>19</v>
      </c>
      <c r="E85" t="s">
        <v>28</v>
      </c>
      <c r="F85">
        <v>8</v>
      </c>
      <c r="G85">
        <v>821.44</v>
      </c>
      <c r="H85">
        <v>6571.52</v>
      </c>
      <c r="I85" t="str">
        <f>TEXT(SalesData[[#This Row],[Order Date]],"mmm-yyyy")</f>
        <v>Oct-2025</v>
      </c>
    </row>
    <row r="86" spans="1:9" x14ac:dyDescent="0.3">
      <c r="A86" s="1">
        <v>45365</v>
      </c>
      <c r="B86" t="s">
        <v>12</v>
      </c>
      <c r="C86" t="s">
        <v>29</v>
      </c>
      <c r="D86" t="s">
        <v>30</v>
      </c>
      <c r="E86" t="s">
        <v>11</v>
      </c>
      <c r="F86">
        <v>6</v>
      </c>
      <c r="G86">
        <v>307.89999999999998</v>
      </c>
      <c r="H86">
        <v>1847.4</v>
      </c>
      <c r="I86" t="str">
        <f>TEXT(SalesData[[#This Row],[Order Date]],"mmm-yyyy")</f>
        <v>Mar-2024</v>
      </c>
    </row>
    <row r="87" spans="1:9" x14ac:dyDescent="0.3">
      <c r="A87" s="1">
        <v>45915</v>
      </c>
      <c r="B87" t="s">
        <v>8</v>
      </c>
      <c r="C87" t="s">
        <v>18</v>
      </c>
      <c r="D87" t="s">
        <v>19</v>
      </c>
      <c r="E87" t="s">
        <v>27</v>
      </c>
      <c r="F87">
        <v>8</v>
      </c>
      <c r="G87">
        <v>868.53</v>
      </c>
      <c r="H87">
        <v>6948.24</v>
      </c>
      <c r="I87" t="str">
        <f>TEXT(SalesData[[#This Row],[Order Date]],"mmm-yyyy")</f>
        <v>Sep-2025</v>
      </c>
    </row>
    <row r="88" spans="1:9" x14ac:dyDescent="0.3">
      <c r="A88" s="1">
        <v>45942</v>
      </c>
      <c r="B88" t="s">
        <v>8</v>
      </c>
      <c r="C88" t="s">
        <v>9</v>
      </c>
      <c r="D88" t="s">
        <v>10</v>
      </c>
      <c r="E88" t="s">
        <v>17</v>
      </c>
      <c r="F88">
        <v>6</v>
      </c>
      <c r="G88">
        <v>31.38</v>
      </c>
      <c r="H88">
        <v>188.28</v>
      </c>
      <c r="I88" t="str">
        <f>TEXT(SalesData[[#This Row],[Order Date]],"mmm-yyyy")</f>
        <v>Oct-2025</v>
      </c>
    </row>
    <row r="89" spans="1:9" x14ac:dyDescent="0.3">
      <c r="A89" s="1">
        <v>45467</v>
      </c>
      <c r="B89" t="s">
        <v>20</v>
      </c>
      <c r="C89" t="s">
        <v>18</v>
      </c>
      <c r="D89" t="s">
        <v>19</v>
      </c>
      <c r="E89" t="s">
        <v>26</v>
      </c>
      <c r="F89">
        <v>4</v>
      </c>
      <c r="G89">
        <v>924.76</v>
      </c>
      <c r="H89">
        <v>3699.04</v>
      </c>
      <c r="I89" t="str">
        <f>TEXT(SalesData[[#This Row],[Order Date]],"mmm-yyyy")</f>
        <v>Jun-2024</v>
      </c>
    </row>
    <row r="90" spans="1:9" x14ac:dyDescent="0.3">
      <c r="A90" s="1">
        <v>45838</v>
      </c>
      <c r="B90" t="s">
        <v>8</v>
      </c>
      <c r="C90" t="s">
        <v>29</v>
      </c>
      <c r="D90" t="s">
        <v>30</v>
      </c>
      <c r="E90" t="s">
        <v>13</v>
      </c>
      <c r="F90">
        <v>8</v>
      </c>
      <c r="G90">
        <v>344.78</v>
      </c>
      <c r="H90">
        <v>2758.24</v>
      </c>
      <c r="I90" t="str">
        <f>TEXT(SalesData[[#This Row],[Order Date]],"mmm-yyyy")</f>
        <v>Jun-2025</v>
      </c>
    </row>
    <row r="91" spans="1:9" x14ac:dyDescent="0.3">
      <c r="A91" s="1">
        <v>45542</v>
      </c>
      <c r="B91" t="s">
        <v>14</v>
      </c>
      <c r="C91" t="s">
        <v>18</v>
      </c>
      <c r="D91" t="s">
        <v>19</v>
      </c>
      <c r="E91" t="s">
        <v>23</v>
      </c>
      <c r="F91">
        <v>4</v>
      </c>
      <c r="G91">
        <v>895</v>
      </c>
      <c r="H91">
        <v>3580</v>
      </c>
      <c r="I91" t="str">
        <f>TEXT(SalesData[[#This Row],[Order Date]],"mmm-yyyy")</f>
        <v>Sep-2024</v>
      </c>
    </row>
    <row r="92" spans="1:9" x14ac:dyDescent="0.3">
      <c r="A92" s="1">
        <v>45459</v>
      </c>
      <c r="B92" t="s">
        <v>12</v>
      </c>
      <c r="C92" t="s">
        <v>18</v>
      </c>
      <c r="D92" t="s">
        <v>19</v>
      </c>
      <c r="E92" t="s">
        <v>31</v>
      </c>
      <c r="F92">
        <v>7</v>
      </c>
      <c r="G92">
        <v>831.53</v>
      </c>
      <c r="H92">
        <v>5820.71</v>
      </c>
      <c r="I92" t="str">
        <f>TEXT(SalesData[[#This Row],[Order Date]],"mmm-yyyy")</f>
        <v>Jun-2024</v>
      </c>
    </row>
    <row r="93" spans="1:9" x14ac:dyDescent="0.3">
      <c r="A93" s="1">
        <v>45765</v>
      </c>
      <c r="B93" t="s">
        <v>12</v>
      </c>
      <c r="C93" t="s">
        <v>24</v>
      </c>
      <c r="D93" t="s">
        <v>19</v>
      </c>
      <c r="E93" t="s">
        <v>26</v>
      </c>
      <c r="F93">
        <v>8</v>
      </c>
      <c r="G93">
        <v>260.66000000000003</v>
      </c>
      <c r="H93">
        <v>2085.2800000000002</v>
      </c>
      <c r="I93" t="str">
        <f>TEXT(SalesData[[#This Row],[Order Date]],"mmm-yyyy")</f>
        <v>Apr-2025</v>
      </c>
    </row>
    <row r="94" spans="1:9" x14ac:dyDescent="0.3">
      <c r="A94" s="1">
        <v>45680</v>
      </c>
      <c r="B94" t="s">
        <v>20</v>
      </c>
      <c r="C94" t="s">
        <v>22</v>
      </c>
      <c r="D94" t="s">
        <v>10</v>
      </c>
      <c r="E94" t="s">
        <v>11</v>
      </c>
      <c r="F94">
        <v>5</v>
      </c>
      <c r="G94">
        <v>73.650000000000006</v>
      </c>
      <c r="H94">
        <v>368.25</v>
      </c>
      <c r="I94" t="str">
        <f>TEXT(SalesData[[#This Row],[Order Date]],"mmm-yyyy")</f>
        <v>Jan-2025</v>
      </c>
    </row>
    <row r="95" spans="1:9" x14ac:dyDescent="0.3">
      <c r="A95" s="1">
        <v>45568</v>
      </c>
      <c r="B95" t="s">
        <v>14</v>
      </c>
      <c r="C95" t="s">
        <v>22</v>
      </c>
      <c r="D95" t="s">
        <v>10</v>
      </c>
      <c r="E95" t="s">
        <v>17</v>
      </c>
      <c r="F95">
        <v>8</v>
      </c>
      <c r="G95">
        <v>70.86</v>
      </c>
      <c r="H95">
        <v>566.88</v>
      </c>
      <c r="I95" t="str">
        <f>TEXT(SalesData[[#This Row],[Order Date]],"mmm-yyyy")</f>
        <v>Oct-2024</v>
      </c>
    </row>
    <row r="96" spans="1:9" x14ac:dyDescent="0.3">
      <c r="A96" s="1">
        <v>45947</v>
      </c>
      <c r="B96" t="s">
        <v>14</v>
      </c>
      <c r="C96" t="s">
        <v>21</v>
      </c>
      <c r="D96" t="s">
        <v>10</v>
      </c>
      <c r="E96" t="s">
        <v>26</v>
      </c>
      <c r="F96">
        <v>7</v>
      </c>
      <c r="G96">
        <v>47.44</v>
      </c>
      <c r="H96">
        <v>332.08</v>
      </c>
      <c r="I96" t="str">
        <f>TEXT(SalesData[[#This Row],[Order Date]],"mmm-yyyy")</f>
        <v>Oct-2025</v>
      </c>
    </row>
    <row r="97" spans="1:9" x14ac:dyDescent="0.3">
      <c r="A97" s="1">
        <v>45996</v>
      </c>
      <c r="B97" t="s">
        <v>8</v>
      </c>
      <c r="C97" t="s">
        <v>24</v>
      </c>
      <c r="D97" t="s">
        <v>19</v>
      </c>
      <c r="E97" t="s">
        <v>28</v>
      </c>
      <c r="F97">
        <v>5</v>
      </c>
      <c r="G97">
        <v>249.69</v>
      </c>
      <c r="H97">
        <v>1248.45</v>
      </c>
      <c r="I97" t="str">
        <f>TEXT(SalesData[[#This Row],[Order Date]],"mmm-yyyy")</f>
        <v>Dec-2025</v>
      </c>
    </row>
    <row r="98" spans="1:9" x14ac:dyDescent="0.3">
      <c r="A98" s="1">
        <v>45862</v>
      </c>
      <c r="B98" t="s">
        <v>20</v>
      </c>
      <c r="C98" t="s">
        <v>29</v>
      </c>
      <c r="D98" t="s">
        <v>30</v>
      </c>
      <c r="E98" t="s">
        <v>23</v>
      </c>
      <c r="F98">
        <v>1</v>
      </c>
      <c r="G98">
        <v>321.45</v>
      </c>
      <c r="H98">
        <v>321.45</v>
      </c>
      <c r="I98" t="str">
        <f>TEXT(SalesData[[#This Row],[Order Date]],"mmm-yyyy")</f>
        <v>Jul-2025</v>
      </c>
    </row>
    <row r="99" spans="1:9" x14ac:dyDescent="0.3">
      <c r="A99" s="1">
        <v>45516</v>
      </c>
      <c r="B99" t="s">
        <v>8</v>
      </c>
      <c r="C99" t="s">
        <v>22</v>
      </c>
      <c r="D99" t="s">
        <v>10</v>
      </c>
      <c r="E99" t="s">
        <v>17</v>
      </c>
      <c r="F99">
        <v>3</v>
      </c>
      <c r="G99">
        <v>68.989999999999995</v>
      </c>
      <c r="H99">
        <v>206.97</v>
      </c>
      <c r="I99" t="str">
        <f>TEXT(SalesData[[#This Row],[Order Date]],"mmm-yyyy")</f>
        <v>Aug-2024</v>
      </c>
    </row>
    <row r="100" spans="1:9" x14ac:dyDescent="0.3">
      <c r="A100" s="1">
        <v>45993</v>
      </c>
      <c r="B100" t="s">
        <v>8</v>
      </c>
      <c r="C100" t="s">
        <v>25</v>
      </c>
      <c r="D100" t="s">
        <v>16</v>
      </c>
      <c r="E100" t="s">
        <v>17</v>
      </c>
      <c r="F100">
        <v>6</v>
      </c>
      <c r="G100">
        <v>162.91999999999999</v>
      </c>
      <c r="H100">
        <v>977.52</v>
      </c>
      <c r="I100" t="str">
        <f>TEXT(SalesData[[#This Row],[Order Date]],"mmm-yyyy")</f>
        <v>Dec-2025</v>
      </c>
    </row>
    <row r="101" spans="1:9" x14ac:dyDescent="0.3">
      <c r="A101" s="1">
        <v>45624</v>
      </c>
      <c r="B101" t="s">
        <v>14</v>
      </c>
      <c r="C101" t="s">
        <v>25</v>
      </c>
      <c r="D101" t="s">
        <v>16</v>
      </c>
      <c r="E101" t="s">
        <v>11</v>
      </c>
      <c r="F101">
        <v>4</v>
      </c>
      <c r="G101">
        <v>165.88</v>
      </c>
      <c r="H101">
        <v>663.52</v>
      </c>
      <c r="I101" t="str">
        <f>TEXT(SalesData[[#This Row],[Order Date]],"mmm-yyyy")</f>
        <v>Nov-2024</v>
      </c>
    </row>
    <row r="102" spans="1:9" x14ac:dyDescent="0.3">
      <c r="A102" s="1">
        <v>45349</v>
      </c>
      <c r="B102" t="s">
        <v>12</v>
      </c>
      <c r="C102" t="s">
        <v>9</v>
      </c>
      <c r="D102" t="s">
        <v>10</v>
      </c>
      <c r="E102" t="s">
        <v>28</v>
      </c>
      <c r="F102">
        <v>7</v>
      </c>
      <c r="G102">
        <v>27.19</v>
      </c>
      <c r="H102">
        <v>190.33</v>
      </c>
      <c r="I102" t="str">
        <f>TEXT(SalesData[[#This Row],[Order Date]],"mmm-yyyy")</f>
        <v>Feb-2024</v>
      </c>
    </row>
    <row r="103" spans="1:9" x14ac:dyDescent="0.3">
      <c r="A103" s="1">
        <v>45526</v>
      </c>
      <c r="B103" t="s">
        <v>8</v>
      </c>
      <c r="C103" t="s">
        <v>22</v>
      </c>
      <c r="D103" t="s">
        <v>10</v>
      </c>
      <c r="E103" t="s">
        <v>26</v>
      </c>
      <c r="F103">
        <v>7</v>
      </c>
      <c r="G103">
        <v>71.91</v>
      </c>
      <c r="H103">
        <v>503.37</v>
      </c>
      <c r="I103" t="str">
        <f>TEXT(SalesData[[#This Row],[Order Date]],"mmm-yyyy")</f>
        <v>Aug-2024</v>
      </c>
    </row>
    <row r="104" spans="1:9" x14ac:dyDescent="0.3">
      <c r="A104" s="1">
        <v>45324</v>
      </c>
      <c r="B104" t="s">
        <v>14</v>
      </c>
      <c r="C104" t="s">
        <v>22</v>
      </c>
      <c r="D104" t="s">
        <v>10</v>
      </c>
      <c r="E104" t="s">
        <v>28</v>
      </c>
      <c r="F104">
        <v>1</v>
      </c>
      <c r="G104">
        <v>67.400000000000006</v>
      </c>
      <c r="H104">
        <v>67.400000000000006</v>
      </c>
      <c r="I104" t="str">
        <f>TEXT(SalesData[[#This Row],[Order Date]],"mmm-yyyy")</f>
        <v>Feb-2024</v>
      </c>
    </row>
    <row r="105" spans="1:9" x14ac:dyDescent="0.3">
      <c r="A105" s="1">
        <v>45615</v>
      </c>
      <c r="B105" t="s">
        <v>12</v>
      </c>
      <c r="C105" t="s">
        <v>24</v>
      </c>
      <c r="D105" t="s">
        <v>19</v>
      </c>
      <c r="E105" t="s">
        <v>17</v>
      </c>
      <c r="F105">
        <v>8</v>
      </c>
      <c r="G105">
        <v>250.43</v>
      </c>
      <c r="H105">
        <v>2003.44</v>
      </c>
      <c r="I105" t="str">
        <f>TEXT(SalesData[[#This Row],[Order Date]],"mmm-yyyy")</f>
        <v>Nov-2024</v>
      </c>
    </row>
    <row r="106" spans="1:9" x14ac:dyDescent="0.3">
      <c r="A106" s="1">
        <v>45702</v>
      </c>
      <c r="B106" t="s">
        <v>8</v>
      </c>
      <c r="C106" t="s">
        <v>18</v>
      </c>
      <c r="D106" t="s">
        <v>19</v>
      </c>
      <c r="E106" t="s">
        <v>26</v>
      </c>
      <c r="F106">
        <v>3</v>
      </c>
      <c r="G106">
        <v>973.36</v>
      </c>
      <c r="H106">
        <v>2920.08</v>
      </c>
      <c r="I106" t="str">
        <f>TEXT(SalesData[[#This Row],[Order Date]],"mmm-yyyy")</f>
        <v>Feb-2025</v>
      </c>
    </row>
    <row r="107" spans="1:9" x14ac:dyDescent="0.3">
      <c r="A107" s="1">
        <v>45566</v>
      </c>
      <c r="B107" t="s">
        <v>20</v>
      </c>
      <c r="C107" t="s">
        <v>24</v>
      </c>
      <c r="D107" t="s">
        <v>19</v>
      </c>
      <c r="E107" t="s">
        <v>28</v>
      </c>
      <c r="F107">
        <v>8</v>
      </c>
      <c r="G107">
        <v>237.46</v>
      </c>
      <c r="H107">
        <v>1899.68</v>
      </c>
      <c r="I107" t="str">
        <f>TEXT(SalesData[[#This Row],[Order Date]],"mmm-yyyy")</f>
        <v>Oct-2024</v>
      </c>
    </row>
    <row r="108" spans="1:9" x14ac:dyDescent="0.3">
      <c r="A108" s="1">
        <v>45359</v>
      </c>
      <c r="B108" t="s">
        <v>20</v>
      </c>
      <c r="C108" t="s">
        <v>15</v>
      </c>
      <c r="D108" t="s">
        <v>16</v>
      </c>
      <c r="E108" t="s">
        <v>11</v>
      </c>
      <c r="F108">
        <v>2</v>
      </c>
      <c r="G108">
        <v>392.83</v>
      </c>
      <c r="H108">
        <v>785.66</v>
      </c>
      <c r="I108" t="str">
        <f>TEXT(SalesData[[#This Row],[Order Date]],"mmm-yyyy")</f>
        <v>Mar-2024</v>
      </c>
    </row>
    <row r="109" spans="1:9" x14ac:dyDescent="0.3">
      <c r="A109" s="1">
        <v>45508</v>
      </c>
      <c r="B109" t="s">
        <v>12</v>
      </c>
      <c r="C109" t="s">
        <v>25</v>
      </c>
      <c r="D109" t="s">
        <v>16</v>
      </c>
      <c r="E109" t="s">
        <v>13</v>
      </c>
      <c r="F109">
        <v>8</v>
      </c>
      <c r="G109">
        <v>189.2</v>
      </c>
      <c r="H109">
        <v>1513.6</v>
      </c>
      <c r="I109" t="str">
        <f>TEXT(SalesData[[#This Row],[Order Date]],"mmm-yyyy")</f>
        <v>Aug-2024</v>
      </c>
    </row>
    <row r="110" spans="1:9" x14ac:dyDescent="0.3">
      <c r="A110" s="1">
        <v>45872</v>
      </c>
      <c r="B110" t="s">
        <v>14</v>
      </c>
      <c r="C110" t="s">
        <v>9</v>
      </c>
      <c r="D110" t="s">
        <v>10</v>
      </c>
      <c r="E110" t="s">
        <v>13</v>
      </c>
      <c r="F110">
        <v>5</v>
      </c>
      <c r="G110">
        <v>28.37</v>
      </c>
      <c r="H110">
        <v>141.85</v>
      </c>
      <c r="I110" t="str">
        <f>TEXT(SalesData[[#This Row],[Order Date]],"mmm-yyyy")</f>
        <v>Aug-2025</v>
      </c>
    </row>
    <row r="111" spans="1:9" x14ac:dyDescent="0.3">
      <c r="A111" s="1">
        <v>45614</v>
      </c>
      <c r="B111" t="s">
        <v>12</v>
      </c>
      <c r="C111" t="s">
        <v>15</v>
      </c>
      <c r="D111" t="s">
        <v>16</v>
      </c>
      <c r="E111" t="s">
        <v>17</v>
      </c>
      <c r="F111">
        <v>2</v>
      </c>
      <c r="G111">
        <v>366.16</v>
      </c>
      <c r="H111">
        <v>732.32</v>
      </c>
      <c r="I111" t="str">
        <f>TEXT(SalesData[[#This Row],[Order Date]],"mmm-yyyy")</f>
        <v>Nov-2024</v>
      </c>
    </row>
    <row r="112" spans="1:9" x14ac:dyDescent="0.3">
      <c r="A112" s="1">
        <v>45509</v>
      </c>
      <c r="B112" t="s">
        <v>12</v>
      </c>
      <c r="C112" t="s">
        <v>21</v>
      </c>
      <c r="D112" t="s">
        <v>10</v>
      </c>
      <c r="E112" t="s">
        <v>27</v>
      </c>
      <c r="F112">
        <v>5</v>
      </c>
      <c r="G112">
        <v>43.11</v>
      </c>
      <c r="H112">
        <v>215.55</v>
      </c>
      <c r="I112" t="str">
        <f>TEXT(SalesData[[#This Row],[Order Date]],"mmm-yyyy")</f>
        <v>Aug-2024</v>
      </c>
    </row>
    <row r="113" spans="1:9" x14ac:dyDescent="0.3">
      <c r="A113" s="1">
        <v>45963</v>
      </c>
      <c r="B113" t="s">
        <v>20</v>
      </c>
      <c r="C113" t="s">
        <v>25</v>
      </c>
      <c r="D113" t="s">
        <v>16</v>
      </c>
      <c r="E113" t="s">
        <v>28</v>
      </c>
      <c r="F113">
        <v>1</v>
      </c>
      <c r="G113">
        <v>167.8</v>
      </c>
      <c r="H113">
        <v>167.8</v>
      </c>
      <c r="I113" t="str">
        <f>TEXT(SalesData[[#This Row],[Order Date]],"mmm-yyyy")</f>
        <v>Nov-2025</v>
      </c>
    </row>
    <row r="114" spans="1:9" x14ac:dyDescent="0.3">
      <c r="A114" s="1">
        <v>45803</v>
      </c>
      <c r="B114" t="s">
        <v>14</v>
      </c>
      <c r="C114" t="s">
        <v>25</v>
      </c>
      <c r="D114" t="s">
        <v>16</v>
      </c>
      <c r="E114" t="s">
        <v>31</v>
      </c>
      <c r="F114">
        <v>7</v>
      </c>
      <c r="G114">
        <v>195.47</v>
      </c>
      <c r="H114">
        <v>1368.29</v>
      </c>
      <c r="I114" t="str">
        <f>TEXT(SalesData[[#This Row],[Order Date]],"mmm-yyyy")</f>
        <v>May-2025</v>
      </c>
    </row>
    <row r="115" spans="1:9" x14ac:dyDescent="0.3">
      <c r="A115" s="1">
        <v>45697</v>
      </c>
      <c r="B115" t="s">
        <v>14</v>
      </c>
      <c r="C115" t="s">
        <v>15</v>
      </c>
      <c r="D115" t="s">
        <v>16</v>
      </c>
      <c r="E115" t="s">
        <v>26</v>
      </c>
      <c r="F115">
        <v>3</v>
      </c>
      <c r="G115">
        <v>424.65</v>
      </c>
      <c r="H115">
        <v>1273.95</v>
      </c>
      <c r="I115" t="str">
        <f>TEXT(SalesData[[#This Row],[Order Date]],"mmm-yyyy")</f>
        <v>Feb-2025</v>
      </c>
    </row>
    <row r="116" spans="1:9" x14ac:dyDescent="0.3">
      <c r="A116" s="1">
        <v>45950</v>
      </c>
      <c r="B116" t="s">
        <v>14</v>
      </c>
      <c r="C116" t="s">
        <v>24</v>
      </c>
      <c r="D116" t="s">
        <v>19</v>
      </c>
      <c r="E116" t="s">
        <v>17</v>
      </c>
      <c r="F116">
        <v>7</v>
      </c>
      <c r="G116">
        <v>256.67</v>
      </c>
      <c r="H116">
        <v>1796.69</v>
      </c>
      <c r="I116" t="str">
        <f>TEXT(SalesData[[#This Row],[Order Date]],"mmm-yyyy")</f>
        <v>Oct-2025</v>
      </c>
    </row>
    <row r="117" spans="1:9" x14ac:dyDescent="0.3">
      <c r="A117" s="1">
        <v>45761</v>
      </c>
      <c r="B117" t="s">
        <v>8</v>
      </c>
      <c r="C117" t="s">
        <v>21</v>
      </c>
      <c r="D117" t="s">
        <v>10</v>
      </c>
      <c r="E117" t="s">
        <v>23</v>
      </c>
      <c r="F117">
        <v>4</v>
      </c>
      <c r="G117">
        <v>48.34</v>
      </c>
      <c r="H117">
        <v>193.36</v>
      </c>
      <c r="I117" t="str">
        <f>TEXT(SalesData[[#This Row],[Order Date]],"mmm-yyyy")</f>
        <v>Apr-2025</v>
      </c>
    </row>
    <row r="118" spans="1:9" x14ac:dyDescent="0.3">
      <c r="A118" s="1">
        <v>45438</v>
      </c>
      <c r="B118" t="s">
        <v>12</v>
      </c>
      <c r="C118" t="s">
        <v>22</v>
      </c>
      <c r="D118" t="s">
        <v>10</v>
      </c>
      <c r="E118" t="s">
        <v>17</v>
      </c>
      <c r="F118">
        <v>5</v>
      </c>
      <c r="G118">
        <v>74.25</v>
      </c>
      <c r="H118">
        <v>371.25</v>
      </c>
      <c r="I118" t="str">
        <f>TEXT(SalesData[[#This Row],[Order Date]],"mmm-yyyy")</f>
        <v>May-2024</v>
      </c>
    </row>
    <row r="119" spans="1:9" x14ac:dyDescent="0.3">
      <c r="A119" s="1">
        <v>45563</v>
      </c>
      <c r="B119" t="s">
        <v>12</v>
      </c>
      <c r="C119" t="s">
        <v>29</v>
      </c>
      <c r="D119" t="s">
        <v>30</v>
      </c>
      <c r="E119" t="s">
        <v>17</v>
      </c>
      <c r="F119">
        <v>3</v>
      </c>
      <c r="G119">
        <v>299.94</v>
      </c>
      <c r="H119">
        <v>899.82</v>
      </c>
      <c r="I119" t="str">
        <f>TEXT(SalesData[[#This Row],[Order Date]],"mmm-yyyy")</f>
        <v>Sep-2024</v>
      </c>
    </row>
    <row r="120" spans="1:9" x14ac:dyDescent="0.3">
      <c r="A120" s="1">
        <v>45434</v>
      </c>
      <c r="B120" t="s">
        <v>8</v>
      </c>
      <c r="C120" t="s">
        <v>25</v>
      </c>
      <c r="D120" t="s">
        <v>16</v>
      </c>
      <c r="E120" t="s">
        <v>23</v>
      </c>
      <c r="F120">
        <v>5</v>
      </c>
      <c r="G120">
        <v>194.13</v>
      </c>
      <c r="H120">
        <v>970.65</v>
      </c>
      <c r="I120" t="str">
        <f>TEXT(SalesData[[#This Row],[Order Date]],"mmm-yyyy")</f>
        <v>May-2024</v>
      </c>
    </row>
    <row r="121" spans="1:9" x14ac:dyDescent="0.3">
      <c r="A121" s="1">
        <v>45544</v>
      </c>
      <c r="B121" t="s">
        <v>14</v>
      </c>
      <c r="C121" t="s">
        <v>22</v>
      </c>
      <c r="D121" t="s">
        <v>10</v>
      </c>
      <c r="E121" t="s">
        <v>11</v>
      </c>
      <c r="F121">
        <v>5</v>
      </c>
      <c r="G121">
        <v>70.55</v>
      </c>
      <c r="H121">
        <v>352.75</v>
      </c>
      <c r="I121" t="str">
        <f>TEXT(SalesData[[#This Row],[Order Date]],"mmm-yyyy")</f>
        <v>Sep-2024</v>
      </c>
    </row>
    <row r="122" spans="1:9" x14ac:dyDescent="0.3">
      <c r="A122" s="1">
        <v>45866</v>
      </c>
      <c r="B122" t="s">
        <v>14</v>
      </c>
      <c r="C122" t="s">
        <v>22</v>
      </c>
      <c r="D122" t="s">
        <v>10</v>
      </c>
      <c r="E122" t="s">
        <v>11</v>
      </c>
      <c r="F122">
        <v>2</v>
      </c>
      <c r="G122">
        <v>74.3</v>
      </c>
      <c r="H122">
        <v>148.6</v>
      </c>
      <c r="I122" t="str">
        <f>TEXT(SalesData[[#This Row],[Order Date]],"mmm-yyyy")</f>
        <v>Jul-2025</v>
      </c>
    </row>
    <row r="123" spans="1:9" x14ac:dyDescent="0.3">
      <c r="A123" s="1">
        <v>45843</v>
      </c>
      <c r="B123" t="s">
        <v>20</v>
      </c>
      <c r="C123" t="s">
        <v>25</v>
      </c>
      <c r="D123" t="s">
        <v>16</v>
      </c>
      <c r="E123" t="s">
        <v>27</v>
      </c>
      <c r="F123">
        <v>5</v>
      </c>
      <c r="G123">
        <v>194.26</v>
      </c>
      <c r="H123">
        <v>971.3</v>
      </c>
      <c r="I123" t="str">
        <f>TEXT(SalesData[[#This Row],[Order Date]],"mmm-yyyy")</f>
        <v>Jul-2025</v>
      </c>
    </row>
    <row r="124" spans="1:9" x14ac:dyDescent="0.3">
      <c r="A124" s="1">
        <v>45561</v>
      </c>
      <c r="B124" t="s">
        <v>12</v>
      </c>
      <c r="C124" t="s">
        <v>15</v>
      </c>
      <c r="D124" t="s">
        <v>16</v>
      </c>
      <c r="E124" t="s">
        <v>27</v>
      </c>
      <c r="F124">
        <v>5</v>
      </c>
      <c r="G124">
        <v>385.44</v>
      </c>
      <c r="H124">
        <v>1927.2</v>
      </c>
      <c r="I124" t="str">
        <f>TEXT(SalesData[[#This Row],[Order Date]],"mmm-yyyy")</f>
        <v>Sep-2024</v>
      </c>
    </row>
    <row r="125" spans="1:9" x14ac:dyDescent="0.3">
      <c r="A125" s="1">
        <v>45890</v>
      </c>
      <c r="B125" t="s">
        <v>14</v>
      </c>
      <c r="C125" t="s">
        <v>22</v>
      </c>
      <c r="D125" t="s">
        <v>10</v>
      </c>
      <c r="E125" t="s">
        <v>28</v>
      </c>
      <c r="F125">
        <v>5</v>
      </c>
      <c r="G125">
        <v>64.540000000000006</v>
      </c>
      <c r="H125">
        <v>322.7</v>
      </c>
      <c r="I125" t="str">
        <f>TEXT(SalesData[[#This Row],[Order Date]],"mmm-yyyy")</f>
        <v>Aug-2025</v>
      </c>
    </row>
    <row r="126" spans="1:9" x14ac:dyDescent="0.3">
      <c r="A126" s="1">
        <v>45730</v>
      </c>
      <c r="B126" t="s">
        <v>20</v>
      </c>
      <c r="C126" t="s">
        <v>9</v>
      </c>
      <c r="D126" t="s">
        <v>10</v>
      </c>
      <c r="E126" t="s">
        <v>26</v>
      </c>
      <c r="F126">
        <v>4</v>
      </c>
      <c r="G126">
        <v>28.37</v>
      </c>
      <c r="H126">
        <v>113.48</v>
      </c>
      <c r="I126" t="str">
        <f>TEXT(SalesData[[#This Row],[Order Date]],"mmm-yyyy")</f>
        <v>Mar-2025</v>
      </c>
    </row>
    <row r="127" spans="1:9" x14ac:dyDescent="0.3">
      <c r="A127" s="1">
        <v>45889</v>
      </c>
      <c r="B127" t="s">
        <v>20</v>
      </c>
      <c r="C127" t="s">
        <v>24</v>
      </c>
      <c r="D127" t="s">
        <v>19</v>
      </c>
      <c r="E127" t="s">
        <v>17</v>
      </c>
      <c r="F127">
        <v>1</v>
      </c>
      <c r="G127">
        <v>246.36</v>
      </c>
      <c r="H127">
        <v>246.36</v>
      </c>
      <c r="I127" t="str">
        <f>TEXT(SalesData[[#This Row],[Order Date]],"mmm-yyyy")</f>
        <v>Aug-2025</v>
      </c>
    </row>
    <row r="128" spans="1:9" x14ac:dyDescent="0.3">
      <c r="A128" s="1">
        <v>45700</v>
      </c>
      <c r="B128" t="s">
        <v>14</v>
      </c>
      <c r="C128" t="s">
        <v>18</v>
      </c>
      <c r="D128" t="s">
        <v>19</v>
      </c>
      <c r="E128" t="s">
        <v>13</v>
      </c>
      <c r="F128">
        <v>6</v>
      </c>
      <c r="G128">
        <v>957.24</v>
      </c>
      <c r="H128">
        <v>5743.44</v>
      </c>
      <c r="I128" t="str">
        <f>TEXT(SalesData[[#This Row],[Order Date]],"mmm-yyyy")</f>
        <v>Feb-2025</v>
      </c>
    </row>
    <row r="129" spans="1:9" x14ac:dyDescent="0.3">
      <c r="A129" s="1">
        <v>45662</v>
      </c>
      <c r="B129" t="s">
        <v>8</v>
      </c>
      <c r="C129" t="s">
        <v>29</v>
      </c>
      <c r="D129" t="s">
        <v>30</v>
      </c>
      <c r="E129" t="s">
        <v>26</v>
      </c>
      <c r="F129">
        <v>6</v>
      </c>
      <c r="G129">
        <v>343.09</v>
      </c>
      <c r="H129">
        <v>2058.54</v>
      </c>
      <c r="I129" t="str">
        <f>TEXT(SalesData[[#This Row],[Order Date]],"mmm-yyyy")</f>
        <v>Jan-2025</v>
      </c>
    </row>
    <row r="130" spans="1:9" x14ac:dyDescent="0.3">
      <c r="A130" s="1">
        <v>45516</v>
      </c>
      <c r="B130" t="s">
        <v>20</v>
      </c>
      <c r="C130" t="s">
        <v>9</v>
      </c>
      <c r="D130" t="s">
        <v>10</v>
      </c>
      <c r="E130" t="s">
        <v>23</v>
      </c>
      <c r="F130">
        <v>3</v>
      </c>
      <c r="G130">
        <v>27.04</v>
      </c>
      <c r="H130">
        <v>81.12</v>
      </c>
      <c r="I130" t="str">
        <f>TEXT(SalesData[[#This Row],[Order Date]],"mmm-yyyy")</f>
        <v>Aug-2024</v>
      </c>
    </row>
    <row r="131" spans="1:9" x14ac:dyDescent="0.3">
      <c r="A131" s="1">
        <v>45433</v>
      </c>
      <c r="B131" t="s">
        <v>8</v>
      </c>
      <c r="C131" t="s">
        <v>21</v>
      </c>
      <c r="D131" t="s">
        <v>10</v>
      </c>
      <c r="E131" t="s">
        <v>23</v>
      </c>
      <c r="F131">
        <v>5</v>
      </c>
      <c r="G131">
        <v>45.1</v>
      </c>
      <c r="H131">
        <v>225.5</v>
      </c>
      <c r="I131" t="str">
        <f>TEXT(SalesData[[#This Row],[Order Date]],"mmm-yyyy")</f>
        <v>May-2024</v>
      </c>
    </row>
    <row r="132" spans="1:9" x14ac:dyDescent="0.3">
      <c r="A132" s="1">
        <v>45813</v>
      </c>
      <c r="B132" t="s">
        <v>8</v>
      </c>
      <c r="C132" t="s">
        <v>25</v>
      </c>
      <c r="D132" t="s">
        <v>16</v>
      </c>
      <c r="E132" t="s">
        <v>13</v>
      </c>
      <c r="F132">
        <v>2</v>
      </c>
      <c r="G132">
        <v>177.03</v>
      </c>
      <c r="H132">
        <v>354.06</v>
      </c>
      <c r="I132" t="str">
        <f>TEXT(SalesData[[#This Row],[Order Date]],"mmm-yyyy")</f>
        <v>Jun-2025</v>
      </c>
    </row>
    <row r="133" spans="1:9" x14ac:dyDescent="0.3">
      <c r="A133" s="1">
        <v>45797</v>
      </c>
      <c r="B133" t="s">
        <v>8</v>
      </c>
      <c r="C133" t="s">
        <v>21</v>
      </c>
      <c r="D133" t="s">
        <v>10</v>
      </c>
      <c r="E133" t="s">
        <v>28</v>
      </c>
      <c r="F133">
        <v>4</v>
      </c>
      <c r="G133">
        <v>42.5</v>
      </c>
      <c r="H133">
        <v>170</v>
      </c>
      <c r="I133" t="str">
        <f>TEXT(SalesData[[#This Row],[Order Date]],"mmm-yyyy")</f>
        <v>May-2025</v>
      </c>
    </row>
    <row r="134" spans="1:9" x14ac:dyDescent="0.3">
      <c r="A134" s="1">
        <v>45385</v>
      </c>
      <c r="B134" t="s">
        <v>12</v>
      </c>
      <c r="C134" t="s">
        <v>24</v>
      </c>
      <c r="D134" t="s">
        <v>19</v>
      </c>
      <c r="E134" t="s">
        <v>23</v>
      </c>
      <c r="F134">
        <v>7</v>
      </c>
      <c r="G134">
        <v>230.99</v>
      </c>
      <c r="H134">
        <v>1616.93</v>
      </c>
      <c r="I134" t="str">
        <f>TEXT(SalesData[[#This Row],[Order Date]],"mmm-yyyy")</f>
        <v>Apr-2024</v>
      </c>
    </row>
    <row r="135" spans="1:9" x14ac:dyDescent="0.3">
      <c r="A135" s="1">
        <v>45340</v>
      </c>
      <c r="B135" t="s">
        <v>20</v>
      </c>
      <c r="C135" t="s">
        <v>24</v>
      </c>
      <c r="D135" t="s">
        <v>19</v>
      </c>
      <c r="E135" t="s">
        <v>23</v>
      </c>
      <c r="F135">
        <v>8</v>
      </c>
      <c r="G135">
        <v>241.88</v>
      </c>
      <c r="H135">
        <v>1935.04</v>
      </c>
      <c r="I135" t="str">
        <f>TEXT(SalesData[[#This Row],[Order Date]],"mmm-yyyy")</f>
        <v>Feb-2024</v>
      </c>
    </row>
    <row r="136" spans="1:9" x14ac:dyDescent="0.3">
      <c r="A136" s="1">
        <v>45404</v>
      </c>
      <c r="B136" t="s">
        <v>12</v>
      </c>
      <c r="C136" t="s">
        <v>15</v>
      </c>
      <c r="D136" t="s">
        <v>16</v>
      </c>
      <c r="E136" t="s">
        <v>31</v>
      </c>
      <c r="F136">
        <v>6</v>
      </c>
      <c r="G136">
        <v>435.43</v>
      </c>
      <c r="H136">
        <v>2612.58</v>
      </c>
      <c r="I136" t="str">
        <f>TEXT(SalesData[[#This Row],[Order Date]],"mmm-yyyy")</f>
        <v>Apr-2024</v>
      </c>
    </row>
    <row r="137" spans="1:9" x14ac:dyDescent="0.3">
      <c r="A137" s="1">
        <v>45448</v>
      </c>
      <c r="B137" t="s">
        <v>20</v>
      </c>
      <c r="C137" t="s">
        <v>22</v>
      </c>
      <c r="D137" t="s">
        <v>10</v>
      </c>
      <c r="E137" t="s">
        <v>31</v>
      </c>
      <c r="F137">
        <v>1</v>
      </c>
      <c r="G137">
        <v>67.52</v>
      </c>
      <c r="H137">
        <v>67.52</v>
      </c>
      <c r="I137" t="str">
        <f>TEXT(SalesData[[#This Row],[Order Date]],"mmm-yyyy")</f>
        <v>Jun-2024</v>
      </c>
    </row>
    <row r="138" spans="1:9" x14ac:dyDescent="0.3">
      <c r="A138" s="1">
        <v>45934</v>
      </c>
      <c r="B138" t="s">
        <v>20</v>
      </c>
      <c r="C138" t="s">
        <v>24</v>
      </c>
      <c r="D138" t="s">
        <v>19</v>
      </c>
      <c r="E138" t="s">
        <v>11</v>
      </c>
      <c r="F138">
        <v>8</v>
      </c>
      <c r="G138">
        <v>250.94</v>
      </c>
      <c r="H138">
        <v>2007.52</v>
      </c>
      <c r="I138" t="str">
        <f>TEXT(SalesData[[#This Row],[Order Date]],"mmm-yyyy")</f>
        <v>Oct-2025</v>
      </c>
    </row>
    <row r="139" spans="1:9" x14ac:dyDescent="0.3">
      <c r="A139" s="1">
        <v>45455</v>
      </c>
      <c r="B139" t="s">
        <v>12</v>
      </c>
      <c r="C139" t="s">
        <v>24</v>
      </c>
      <c r="D139" t="s">
        <v>19</v>
      </c>
      <c r="E139" t="s">
        <v>27</v>
      </c>
      <c r="F139">
        <v>3</v>
      </c>
      <c r="G139">
        <v>260.14999999999998</v>
      </c>
      <c r="H139">
        <v>780.45</v>
      </c>
      <c r="I139" t="str">
        <f>TEXT(SalesData[[#This Row],[Order Date]],"mmm-yyyy")</f>
        <v>Jun-2024</v>
      </c>
    </row>
    <row r="140" spans="1:9" x14ac:dyDescent="0.3">
      <c r="A140" s="1">
        <v>45988</v>
      </c>
      <c r="B140" t="s">
        <v>12</v>
      </c>
      <c r="C140" t="s">
        <v>29</v>
      </c>
      <c r="D140" t="s">
        <v>30</v>
      </c>
      <c r="E140" t="s">
        <v>13</v>
      </c>
      <c r="F140">
        <v>8</v>
      </c>
      <c r="G140">
        <v>311.27</v>
      </c>
      <c r="H140">
        <v>2490.16</v>
      </c>
      <c r="I140" t="str">
        <f>TEXT(SalesData[[#This Row],[Order Date]],"mmm-yyyy")</f>
        <v>Nov-2025</v>
      </c>
    </row>
    <row r="141" spans="1:9" x14ac:dyDescent="0.3">
      <c r="A141" s="1">
        <v>45724</v>
      </c>
      <c r="B141" t="s">
        <v>8</v>
      </c>
      <c r="C141" t="s">
        <v>9</v>
      </c>
      <c r="D141" t="s">
        <v>10</v>
      </c>
      <c r="E141" t="s">
        <v>17</v>
      </c>
      <c r="F141">
        <v>3</v>
      </c>
      <c r="G141">
        <v>32.83</v>
      </c>
      <c r="H141">
        <v>98.49</v>
      </c>
      <c r="I141" t="str">
        <f>TEXT(SalesData[[#This Row],[Order Date]],"mmm-yyyy")</f>
        <v>Mar-2025</v>
      </c>
    </row>
    <row r="142" spans="1:9" x14ac:dyDescent="0.3">
      <c r="A142" s="1">
        <v>45902</v>
      </c>
      <c r="B142" t="s">
        <v>14</v>
      </c>
      <c r="C142" t="s">
        <v>25</v>
      </c>
      <c r="D142" t="s">
        <v>16</v>
      </c>
      <c r="E142" t="s">
        <v>11</v>
      </c>
      <c r="F142">
        <v>7</v>
      </c>
      <c r="G142">
        <v>196.65</v>
      </c>
      <c r="H142">
        <v>1376.55</v>
      </c>
      <c r="I142" t="str">
        <f>TEXT(SalesData[[#This Row],[Order Date]],"mmm-yyyy")</f>
        <v>Sep-2025</v>
      </c>
    </row>
    <row r="143" spans="1:9" x14ac:dyDescent="0.3">
      <c r="A143" s="1">
        <v>45357</v>
      </c>
      <c r="B143" t="s">
        <v>8</v>
      </c>
      <c r="C143" t="s">
        <v>24</v>
      </c>
      <c r="D143" t="s">
        <v>19</v>
      </c>
      <c r="E143" t="s">
        <v>23</v>
      </c>
      <c r="F143">
        <v>8</v>
      </c>
      <c r="G143">
        <v>237.59</v>
      </c>
      <c r="H143">
        <v>1900.72</v>
      </c>
      <c r="I143" t="str">
        <f>TEXT(SalesData[[#This Row],[Order Date]],"mmm-yyyy")</f>
        <v>Mar-2024</v>
      </c>
    </row>
    <row r="144" spans="1:9" x14ac:dyDescent="0.3">
      <c r="A144" s="1">
        <v>45686</v>
      </c>
      <c r="B144" t="s">
        <v>14</v>
      </c>
      <c r="C144" t="s">
        <v>18</v>
      </c>
      <c r="D144" t="s">
        <v>19</v>
      </c>
      <c r="E144" t="s">
        <v>17</v>
      </c>
      <c r="F144">
        <v>6</v>
      </c>
      <c r="G144">
        <v>899.5</v>
      </c>
      <c r="H144">
        <v>5397</v>
      </c>
      <c r="I144" t="str">
        <f>TEXT(SalesData[[#This Row],[Order Date]],"mmm-yyyy")</f>
        <v>Jan-2025</v>
      </c>
    </row>
    <row r="145" spans="1:9" x14ac:dyDescent="0.3">
      <c r="A145" s="1">
        <v>45682</v>
      </c>
      <c r="B145" t="s">
        <v>20</v>
      </c>
      <c r="C145" t="s">
        <v>22</v>
      </c>
      <c r="D145" t="s">
        <v>10</v>
      </c>
      <c r="E145" t="s">
        <v>13</v>
      </c>
      <c r="F145">
        <v>4</v>
      </c>
      <c r="G145">
        <v>67.209999999999994</v>
      </c>
      <c r="H145">
        <v>268.83999999999997</v>
      </c>
      <c r="I145" t="str">
        <f>TEXT(SalesData[[#This Row],[Order Date]],"mmm-yyyy")</f>
        <v>Jan-2025</v>
      </c>
    </row>
    <row r="146" spans="1:9" x14ac:dyDescent="0.3">
      <c r="A146" s="1">
        <v>45902</v>
      </c>
      <c r="B146" t="s">
        <v>12</v>
      </c>
      <c r="C146" t="s">
        <v>25</v>
      </c>
      <c r="D146" t="s">
        <v>16</v>
      </c>
      <c r="E146" t="s">
        <v>11</v>
      </c>
      <c r="F146">
        <v>6</v>
      </c>
      <c r="G146">
        <v>172.25</v>
      </c>
      <c r="H146">
        <v>1033.5</v>
      </c>
      <c r="I146" t="str">
        <f>TEXT(SalesData[[#This Row],[Order Date]],"mmm-yyyy")</f>
        <v>Sep-2025</v>
      </c>
    </row>
    <row r="147" spans="1:9" x14ac:dyDescent="0.3">
      <c r="A147" s="1">
        <v>45771</v>
      </c>
      <c r="B147" t="s">
        <v>12</v>
      </c>
      <c r="C147" t="s">
        <v>29</v>
      </c>
      <c r="D147" t="s">
        <v>30</v>
      </c>
      <c r="E147" t="s">
        <v>17</v>
      </c>
      <c r="F147">
        <v>4</v>
      </c>
      <c r="G147">
        <v>290.36</v>
      </c>
      <c r="H147">
        <v>1161.44</v>
      </c>
      <c r="I147" t="str">
        <f>TEXT(SalesData[[#This Row],[Order Date]],"mmm-yyyy")</f>
        <v>Apr-2025</v>
      </c>
    </row>
    <row r="148" spans="1:9" x14ac:dyDescent="0.3">
      <c r="A148" s="1">
        <v>45833</v>
      </c>
      <c r="B148" t="s">
        <v>12</v>
      </c>
      <c r="C148" t="s">
        <v>24</v>
      </c>
      <c r="D148" t="s">
        <v>19</v>
      </c>
      <c r="E148" t="s">
        <v>27</v>
      </c>
      <c r="F148">
        <v>4</v>
      </c>
      <c r="G148">
        <v>255.48</v>
      </c>
      <c r="H148">
        <v>1021.92</v>
      </c>
      <c r="I148" t="str">
        <f>TEXT(SalesData[[#This Row],[Order Date]],"mmm-yyyy")</f>
        <v>Jun-2025</v>
      </c>
    </row>
    <row r="149" spans="1:9" x14ac:dyDescent="0.3">
      <c r="A149" s="1">
        <v>45549</v>
      </c>
      <c r="B149" t="s">
        <v>14</v>
      </c>
      <c r="C149" t="s">
        <v>25</v>
      </c>
      <c r="D149" t="s">
        <v>16</v>
      </c>
      <c r="E149" t="s">
        <v>31</v>
      </c>
      <c r="F149">
        <v>4</v>
      </c>
      <c r="G149">
        <v>180.1</v>
      </c>
      <c r="H149">
        <v>720.4</v>
      </c>
      <c r="I149" t="str">
        <f>TEXT(SalesData[[#This Row],[Order Date]],"mmm-yyyy")</f>
        <v>Sep-2024</v>
      </c>
    </row>
    <row r="150" spans="1:9" x14ac:dyDescent="0.3">
      <c r="A150" s="1">
        <v>45858</v>
      </c>
      <c r="B150" t="s">
        <v>14</v>
      </c>
      <c r="C150" t="s">
        <v>24</v>
      </c>
      <c r="D150" t="s">
        <v>19</v>
      </c>
      <c r="E150" t="s">
        <v>31</v>
      </c>
      <c r="F150">
        <v>4</v>
      </c>
      <c r="G150">
        <v>227.57</v>
      </c>
      <c r="H150">
        <v>910.28</v>
      </c>
      <c r="I150" t="str">
        <f>TEXT(SalesData[[#This Row],[Order Date]],"mmm-yyyy")</f>
        <v>Jul-2025</v>
      </c>
    </row>
    <row r="151" spans="1:9" x14ac:dyDescent="0.3">
      <c r="A151" s="1">
        <v>45303</v>
      </c>
      <c r="B151" t="s">
        <v>12</v>
      </c>
      <c r="C151" t="s">
        <v>25</v>
      </c>
      <c r="D151" t="s">
        <v>16</v>
      </c>
      <c r="E151" t="s">
        <v>23</v>
      </c>
      <c r="F151">
        <v>3</v>
      </c>
      <c r="G151">
        <v>172.03</v>
      </c>
      <c r="H151">
        <v>516.09</v>
      </c>
      <c r="I151" t="str">
        <f>TEXT(SalesData[[#This Row],[Order Date]],"mmm-yyyy")</f>
        <v>Jan-2024</v>
      </c>
    </row>
    <row r="152" spans="1:9" x14ac:dyDescent="0.3">
      <c r="A152" s="1">
        <v>45988</v>
      </c>
      <c r="B152" t="s">
        <v>20</v>
      </c>
      <c r="C152" t="s">
        <v>21</v>
      </c>
      <c r="D152" t="s">
        <v>10</v>
      </c>
      <c r="E152" t="s">
        <v>26</v>
      </c>
      <c r="F152">
        <v>3</v>
      </c>
      <c r="G152">
        <v>48.67</v>
      </c>
      <c r="H152">
        <v>146.01</v>
      </c>
      <c r="I152" t="str">
        <f>TEXT(SalesData[[#This Row],[Order Date]],"mmm-yyyy")</f>
        <v>Nov-2025</v>
      </c>
    </row>
    <row r="153" spans="1:9" x14ac:dyDescent="0.3">
      <c r="A153" s="1">
        <v>45409</v>
      </c>
      <c r="B153" t="s">
        <v>14</v>
      </c>
      <c r="C153" t="s">
        <v>24</v>
      </c>
      <c r="D153" t="s">
        <v>19</v>
      </c>
      <c r="E153" t="s">
        <v>27</v>
      </c>
      <c r="F153">
        <v>1</v>
      </c>
      <c r="G153">
        <v>236.98</v>
      </c>
      <c r="H153">
        <v>236.98</v>
      </c>
      <c r="I153" t="str">
        <f>TEXT(SalesData[[#This Row],[Order Date]],"mmm-yyyy")</f>
        <v>Apr-2024</v>
      </c>
    </row>
    <row r="154" spans="1:9" x14ac:dyDescent="0.3">
      <c r="A154" s="1">
        <v>45990</v>
      </c>
      <c r="B154" t="s">
        <v>20</v>
      </c>
      <c r="C154" t="s">
        <v>25</v>
      </c>
      <c r="D154" t="s">
        <v>16</v>
      </c>
      <c r="E154" t="s">
        <v>27</v>
      </c>
      <c r="F154">
        <v>4</v>
      </c>
      <c r="G154">
        <v>167.22</v>
      </c>
      <c r="H154">
        <v>668.88</v>
      </c>
      <c r="I154" t="str">
        <f>TEXT(SalesData[[#This Row],[Order Date]],"mmm-yyyy")</f>
        <v>Nov-2025</v>
      </c>
    </row>
    <row r="155" spans="1:9" x14ac:dyDescent="0.3">
      <c r="A155" s="1">
        <v>45841</v>
      </c>
      <c r="B155" t="s">
        <v>12</v>
      </c>
      <c r="C155" t="s">
        <v>21</v>
      </c>
      <c r="D155" t="s">
        <v>10</v>
      </c>
      <c r="E155" t="s">
        <v>26</v>
      </c>
      <c r="F155">
        <v>5</v>
      </c>
      <c r="G155">
        <v>44.91</v>
      </c>
      <c r="H155">
        <v>224.55</v>
      </c>
      <c r="I155" t="str">
        <f>TEXT(SalesData[[#This Row],[Order Date]],"mmm-yyyy")</f>
        <v>Jul-2025</v>
      </c>
    </row>
    <row r="156" spans="1:9" x14ac:dyDescent="0.3">
      <c r="A156" s="1">
        <v>45565</v>
      </c>
      <c r="B156" t="s">
        <v>12</v>
      </c>
      <c r="C156" t="s">
        <v>15</v>
      </c>
      <c r="D156" t="s">
        <v>16</v>
      </c>
      <c r="E156" t="s">
        <v>17</v>
      </c>
      <c r="F156">
        <v>2</v>
      </c>
      <c r="G156">
        <v>438.85</v>
      </c>
      <c r="H156">
        <v>877.7</v>
      </c>
      <c r="I156" t="str">
        <f>TEXT(SalesData[[#This Row],[Order Date]],"mmm-yyyy")</f>
        <v>Sep-2024</v>
      </c>
    </row>
    <row r="157" spans="1:9" x14ac:dyDescent="0.3">
      <c r="A157" s="1">
        <v>45948</v>
      </c>
      <c r="B157" t="s">
        <v>12</v>
      </c>
      <c r="C157" t="s">
        <v>22</v>
      </c>
      <c r="D157" t="s">
        <v>10</v>
      </c>
      <c r="E157" t="s">
        <v>17</v>
      </c>
      <c r="F157">
        <v>6</v>
      </c>
      <c r="G157">
        <v>66.39</v>
      </c>
      <c r="H157">
        <v>398.34</v>
      </c>
      <c r="I157" t="str">
        <f>TEXT(SalesData[[#This Row],[Order Date]],"mmm-yyyy")</f>
        <v>Oct-2025</v>
      </c>
    </row>
    <row r="158" spans="1:9" x14ac:dyDescent="0.3">
      <c r="A158" s="1">
        <v>45640</v>
      </c>
      <c r="B158" t="s">
        <v>20</v>
      </c>
      <c r="C158" t="s">
        <v>9</v>
      </c>
      <c r="D158" t="s">
        <v>10</v>
      </c>
      <c r="E158" t="s">
        <v>17</v>
      </c>
      <c r="F158">
        <v>1</v>
      </c>
      <c r="G158">
        <v>31.03</v>
      </c>
      <c r="H158">
        <v>31.03</v>
      </c>
      <c r="I158" t="str">
        <f>TEXT(SalesData[[#This Row],[Order Date]],"mmm-yyyy")</f>
        <v>Dec-2024</v>
      </c>
    </row>
    <row r="159" spans="1:9" x14ac:dyDescent="0.3">
      <c r="A159" s="1">
        <v>45406</v>
      </c>
      <c r="B159" t="s">
        <v>8</v>
      </c>
      <c r="C159" t="s">
        <v>18</v>
      </c>
      <c r="D159" t="s">
        <v>19</v>
      </c>
      <c r="E159" t="s">
        <v>11</v>
      </c>
      <c r="F159">
        <v>1</v>
      </c>
      <c r="G159">
        <v>947.09</v>
      </c>
      <c r="H159">
        <v>947.09</v>
      </c>
      <c r="I159" t="str">
        <f>TEXT(SalesData[[#This Row],[Order Date]],"mmm-yyyy")</f>
        <v>Apr-2024</v>
      </c>
    </row>
    <row r="160" spans="1:9" x14ac:dyDescent="0.3">
      <c r="A160" s="1">
        <v>45592</v>
      </c>
      <c r="B160" t="s">
        <v>8</v>
      </c>
      <c r="C160" t="s">
        <v>15</v>
      </c>
      <c r="D160" t="s">
        <v>16</v>
      </c>
      <c r="E160" t="s">
        <v>17</v>
      </c>
      <c r="F160">
        <v>2</v>
      </c>
      <c r="G160">
        <v>379.01</v>
      </c>
      <c r="H160">
        <v>758.02</v>
      </c>
      <c r="I160" t="str">
        <f>TEXT(SalesData[[#This Row],[Order Date]],"mmm-yyyy")</f>
        <v>Oct-2024</v>
      </c>
    </row>
    <row r="161" spans="1:9" x14ac:dyDescent="0.3">
      <c r="A161" s="1">
        <v>45737</v>
      </c>
      <c r="B161" t="s">
        <v>20</v>
      </c>
      <c r="C161" t="s">
        <v>24</v>
      </c>
      <c r="D161" t="s">
        <v>19</v>
      </c>
      <c r="E161" t="s">
        <v>26</v>
      </c>
      <c r="F161">
        <v>2</v>
      </c>
      <c r="G161">
        <v>261.41000000000003</v>
      </c>
      <c r="H161">
        <v>522.82000000000005</v>
      </c>
      <c r="I161" t="str">
        <f>TEXT(SalesData[[#This Row],[Order Date]],"mmm-yyyy")</f>
        <v>Mar-2025</v>
      </c>
    </row>
    <row r="162" spans="1:9" x14ac:dyDescent="0.3">
      <c r="A162" s="1">
        <v>45453</v>
      </c>
      <c r="B162" t="s">
        <v>20</v>
      </c>
      <c r="C162" t="s">
        <v>24</v>
      </c>
      <c r="D162" t="s">
        <v>19</v>
      </c>
      <c r="E162" t="s">
        <v>28</v>
      </c>
      <c r="F162">
        <v>3</v>
      </c>
      <c r="G162">
        <v>243.39</v>
      </c>
      <c r="H162">
        <v>730.17</v>
      </c>
      <c r="I162" t="str">
        <f>TEXT(SalesData[[#This Row],[Order Date]],"mmm-yyyy")</f>
        <v>Jun-2024</v>
      </c>
    </row>
    <row r="163" spans="1:9" x14ac:dyDescent="0.3">
      <c r="A163" s="1">
        <v>45756</v>
      </c>
      <c r="B163" t="s">
        <v>8</v>
      </c>
      <c r="C163" t="s">
        <v>15</v>
      </c>
      <c r="D163" t="s">
        <v>16</v>
      </c>
      <c r="E163" t="s">
        <v>11</v>
      </c>
      <c r="F163">
        <v>5</v>
      </c>
      <c r="G163">
        <v>410.58</v>
      </c>
      <c r="H163">
        <v>2052.9</v>
      </c>
      <c r="I163" t="str">
        <f>TEXT(SalesData[[#This Row],[Order Date]],"mmm-yyyy")</f>
        <v>Apr-2025</v>
      </c>
    </row>
    <row r="164" spans="1:9" x14ac:dyDescent="0.3">
      <c r="A164" s="1">
        <v>45295</v>
      </c>
      <c r="B164" t="s">
        <v>14</v>
      </c>
      <c r="C164" t="s">
        <v>24</v>
      </c>
      <c r="D164" t="s">
        <v>19</v>
      </c>
      <c r="E164" t="s">
        <v>11</v>
      </c>
      <c r="F164">
        <v>2</v>
      </c>
      <c r="G164">
        <v>256.68</v>
      </c>
      <c r="H164">
        <v>513.36</v>
      </c>
      <c r="I164" t="str">
        <f>TEXT(SalesData[[#This Row],[Order Date]],"mmm-yyyy")</f>
        <v>Jan-2024</v>
      </c>
    </row>
    <row r="165" spans="1:9" x14ac:dyDescent="0.3">
      <c r="A165" s="1">
        <v>45561</v>
      </c>
      <c r="B165" t="s">
        <v>8</v>
      </c>
      <c r="C165" t="s">
        <v>22</v>
      </c>
      <c r="D165" t="s">
        <v>10</v>
      </c>
      <c r="E165" t="s">
        <v>28</v>
      </c>
      <c r="F165">
        <v>4</v>
      </c>
      <c r="G165">
        <v>70.5</v>
      </c>
      <c r="H165">
        <v>282</v>
      </c>
      <c r="I165" t="str">
        <f>TEXT(SalesData[[#This Row],[Order Date]],"mmm-yyyy")</f>
        <v>Sep-2024</v>
      </c>
    </row>
    <row r="166" spans="1:9" x14ac:dyDescent="0.3">
      <c r="A166" s="1">
        <v>45804</v>
      </c>
      <c r="B166" t="s">
        <v>8</v>
      </c>
      <c r="C166" t="s">
        <v>22</v>
      </c>
      <c r="D166" t="s">
        <v>10</v>
      </c>
      <c r="E166" t="s">
        <v>13</v>
      </c>
      <c r="F166">
        <v>7</v>
      </c>
      <c r="G166">
        <v>64.260000000000005</v>
      </c>
      <c r="H166">
        <v>449.82</v>
      </c>
      <c r="I166" t="str">
        <f>TEXT(SalesData[[#This Row],[Order Date]],"mmm-yyyy")</f>
        <v>May-2025</v>
      </c>
    </row>
    <row r="167" spans="1:9" x14ac:dyDescent="0.3">
      <c r="A167" s="1">
        <v>45474</v>
      </c>
      <c r="B167" t="s">
        <v>20</v>
      </c>
      <c r="C167" t="s">
        <v>25</v>
      </c>
      <c r="D167" t="s">
        <v>16</v>
      </c>
      <c r="E167" t="s">
        <v>23</v>
      </c>
      <c r="F167">
        <v>7</v>
      </c>
      <c r="G167">
        <v>192.07</v>
      </c>
      <c r="H167">
        <v>1344.49</v>
      </c>
      <c r="I167" t="str">
        <f>TEXT(SalesData[[#This Row],[Order Date]],"mmm-yyyy")</f>
        <v>Jul-2024</v>
      </c>
    </row>
    <row r="168" spans="1:9" x14ac:dyDescent="0.3">
      <c r="A168" s="1">
        <v>45811</v>
      </c>
      <c r="B168" t="s">
        <v>8</v>
      </c>
      <c r="C168" t="s">
        <v>25</v>
      </c>
      <c r="D168" t="s">
        <v>16</v>
      </c>
      <c r="E168" t="s">
        <v>13</v>
      </c>
      <c r="F168">
        <v>3</v>
      </c>
      <c r="G168">
        <v>173.55</v>
      </c>
      <c r="H168">
        <v>520.65</v>
      </c>
      <c r="I168" t="str">
        <f>TEXT(SalesData[[#This Row],[Order Date]],"mmm-yyyy")</f>
        <v>Jun-2025</v>
      </c>
    </row>
    <row r="169" spans="1:9" x14ac:dyDescent="0.3">
      <c r="A169" s="1">
        <v>45400</v>
      </c>
      <c r="B169" t="s">
        <v>12</v>
      </c>
      <c r="C169" t="s">
        <v>24</v>
      </c>
      <c r="D169" t="s">
        <v>19</v>
      </c>
      <c r="E169" t="s">
        <v>11</v>
      </c>
      <c r="F169">
        <v>2</v>
      </c>
      <c r="G169">
        <v>234.33</v>
      </c>
      <c r="H169">
        <v>468.66</v>
      </c>
      <c r="I169" t="str">
        <f>TEXT(SalesData[[#This Row],[Order Date]],"mmm-yyyy")</f>
        <v>Apr-2024</v>
      </c>
    </row>
    <row r="170" spans="1:9" x14ac:dyDescent="0.3">
      <c r="A170" s="1">
        <v>45932</v>
      </c>
      <c r="B170" t="s">
        <v>14</v>
      </c>
      <c r="C170" t="s">
        <v>24</v>
      </c>
      <c r="D170" t="s">
        <v>19</v>
      </c>
      <c r="E170" t="s">
        <v>27</v>
      </c>
      <c r="F170">
        <v>6</v>
      </c>
      <c r="G170">
        <v>227.04</v>
      </c>
      <c r="H170">
        <v>1362.24</v>
      </c>
      <c r="I170" t="str">
        <f>TEXT(SalesData[[#This Row],[Order Date]],"mmm-yyyy")</f>
        <v>Oct-2025</v>
      </c>
    </row>
    <row r="171" spans="1:9" x14ac:dyDescent="0.3">
      <c r="A171" s="1">
        <v>45597</v>
      </c>
      <c r="B171" t="s">
        <v>8</v>
      </c>
      <c r="C171" t="s">
        <v>25</v>
      </c>
      <c r="D171" t="s">
        <v>16</v>
      </c>
      <c r="E171" t="s">
        <v>28</v>
      </c>
      <c r="F171">
        <v>2</v>
      </c>
      <c r="G171">
        <v>183.27</v>
      </c>
      <c r="H171">
        <v>366.54</v>
      </c>
      <c r="I171" t="str">
        <f>TEXT(SalesData[[#This Row],[Order Date]],"mmm-yyyy")</f>
        <v>Nov-2024</v>
      </c>
    </row>
    <row r="172" spans="1:9" x14ac:dyDescent="0.3">
      <c r="A172" s="1">
        <v>45946</v>
      </c>
      <c r="B172" t="s">
        <v>20</v>
      </c>
      <c r="C172" t="s">
        <v>15</v>
      </c>
      <c r="D172" t="s">
        <v>16</v>
      </c>
      <c r="E172" t="s">
        <v>23</v>
      </c>
      <c r="F172">
        <v>1</v>
      </c>
      <c r="G172">
        <v>414.21</v>
      </c>
      <c r="H172">
        <v>414.21</v>
      </c>
      <c r="I172" t="str">
        <f>TEXT(SalesData[[#This Row],[Order Date]],"mmm-yyyy")</f>
        <v>Oct-2025</v>
      </c>
    </row>
    <row r="173" spans="1:9" x14ac:dyDescent="0.3">
      <c r="A173" s="1">
        <v>45811</v>
      </c>
      <c r="B173" t="s">
        <v>14</v>
      </c>
      <c r="C173" t="s">
        <v>25</v>
      </c>
      <c r="D173" t="s">
        <v>16</v>
      </c>
      <c r="E173" t="s">
        <v>26</v>
      </c>
      <c r="F173">
        <v>2</v>
      </c>
      <c r="G173">
        <v>162.6</v>
      </c>
      <c r="H173">
        <v>325.2</v>
      </c>
      <c r="I173" t="str">
        <f>TEXT(SalesData[[#This Row],[Order Date]],"mmm-yyyy")</f>
        <v>Jun-2025</v>
      </c>
    </row>
    <row r="174" spans="1:9" x14ac:dyDescent="0.3">
      <c r="A174" s="1">
        <v>45915</v>
      </c>
      <c r="B174" t="s">
        <v>12</v>
      </c>
      <c r="C174" t="s">
        <v>22</v>
      </c>
      <c r="D174" t="s">
        <v>10</v>
      </c>
      <c r="E174" t="s">
        <v>28</v>
      </c>
      <c r="F174">
        <v>4</v>
      </c>
      <c r="G174">
        <v>70.17</v>
      </c>
      <c r="H174">
        <v>280.68</v>
      </c>
      <c r="I174" t="str">
        <f>TEXT(SalesData[[#This Row],[Order Date]],"mmm-yyyy")</f>
        <v>Sep-2025</v>
      </c>
    </row>
    <row r="175" spans="1:9" x14ac:dyDescent="0.3">
      <c r="A175" s="1">
        <v>45495</v>
      </c>
      <c r="B175" t="s">
        <v>20</v>
      </c>
      <c r="C175" t="s">
        <v>25</v>
      </c>
      <c r="D175" t="s">
        <v>16</v>
      </c>
      <c r="E175" t="s">
        <v>31</v>
      </c>
      <c r="F175">
        <v>2</v>
      </c>
      <c r="G175">
        <v>170.15</v>
      </c>
      <c r="H175">
        <v>340.3</v>
      </c>
      <c r="I175" t="str">
        <f>TEXT(SalesData[[#This Row],[Order Date]],"mmm-yyyy")</f>
        <v>Jul-2024</v>
      </c>
    </row>
    <row r="176" spans="1:9" x14ac:dyDescent="0.3">
      <c r="A176" s="1">
        <v>45448</v>
      </c>
      <c r="B176" t="s">
        <v>20</v>
      </c>
      <c r="C176" t="s">
        <v>15</v>
      </c>
      <c r="D176" t="s">
        <v>16</v>
      </c>
      <c r="E176" t="s">
        <v>27</v>
      </c>
      <c r="F176">
        <v>1</v>
      </c>
      <c r="G176">
        <v>411.61</v>
      </c>
      <c r="H176">
        <v>411.61</v>
      </c>
      <c r="I176" t="str">
        <f>TEXT(SalesData[[#This Row],[Order Date]],"mmm-yyyy")</f>
        <v>Jun-2024</v>
      </c>
    </row>
    <row r="177" spans="1:9" x14ac:dyDescent="0.3">
      <c r="A177" s="1">
        <v>45674</v>
      </c>
      <c r="B177" t="s">
        <v>20</v>
      </c>
      <c r="C177" t="s">
        <v>21</v>
      </c>
      <c r="D177" t="s">
        <v>10</v>
      </c>
      <c r="E177" t="s">
        <v>28</v>
      </c>
      <c r="F177">
        <v>5</v>
      </c>
      <c r="G177">
        <v>42.07</v>
      </c>
      <c r="H177">
        <v>210.35</v>
      </c>
      <c r="I177" t="str">
        <f>TEXT(SalesData[[#This Row],[Order Date]],"mmm-yyyy")</f>
        <v>Jan-2025</v>
      </c>
    </row>
    <row r="178" spans="1:9" x14ac:dyDescent="0.3">
      <c r="A178" s="1">
        <v>45457</v>
      </c>
      <c r="B178" t="s">
        <v>14</v>
      </c>
      <c r="C178" t="s">
        <v>25</v>
      </c>
      <c r="D178" t="s">
        <v>16</v>
      </c>
      <c r="E178" t="s">
        <v>26</v>
      </c>
      <c r="F178">
        <v>1</v>
      </c>
      <c r="G178">
        <v>186.87</v>
      </c>
      <c r="H178">
        <v>186.87</v>
      </c>
      <c r="I178" t="str">
        <f>TEXT(SalesData[[#This Row],[Order Date]],"mmm-yyyy")</f>
        <v>Jun-2024</v>
      </c>
    </row>
    <row r="179" spans="1:9" x14ac:dyDescent="0.3">
      <c r="A179" s="1">
        <v>45844</v>
      </c>
      <c r="B179" t="s">
        <v>14</v>
      </c>
      <c r="C179" t="s">
        <v>15</v>
      </c>
      <c r="D179" t="s">
        <v>16</v>
      </c>
      <c r="E179" t="s">
        <v>27</v>
      </c>
      <c r="F179">
        <v>2</v>
      </c>
      <c r="G179">
        <v>390.94</v>
      </c>
      <c r="H179">
        <v>781.88</v>
      </c>
      <c r="I179" t="str">
        <f>TEXT(SalesData[[#This Row],[Order Date]],"mmm-yyyy")</f>
        <v>Jul-2025</v>
      </c>
    </row>
    <row r="180" spans="1:9" x14ac:dyDescent="0.3">
      <c r="A180" s="1">
        <v>45835</v>
      </c>
      <c r="B180" t="s">
        <v>8</v>
      </c>
      <c r="C180" t="s">
        <v>24</v>
      </c>
      <c r="D180" t="s">
        <v>19</v>
      </c>
      <c r="E180" t="s">
        <v>11</v>
      </c>
      <c r="F180">
        <v>4</v>
      </c>
      <c r="G180">
        <v>271.83999999999997</v>
      </c>
      <c r="H180">
        <v>1087.3599999999999</v>
      </c>
      <c r="I180" t="str">
        <f>TEXT(SalesData[[#This Row],[Order Date]],"mmm-yyyy")</f>
        <v>Jun-2025</v>
      </c>
    </row>
    <row r="181" spans="1:9" x14ac:dyDescent="0.3">
      <c r="A181" s="1">
        <v>45292</v>
      </c>
      <c r="B181" t="s">
        <v>14</v>
      </c>
      <c r="C181" t="s">
        <v>22</v>
      </c>
      <c r="D181" t="s">
        <v>10</v>
      </c>
      <c r="E181" t="s">
        <v>28</v>
      </c>
      <c r="F181">
        <v>6</v>
      </c>
      <c r="G181">
        <v>64.930000000000007</v>
      </c>
      <c r="H181">
        <v>389.58</v>
      </c>
      <c r="I181" t="str">
        <f>TEXT(SalesData[[#This Row],[Order Date]],"mmm-yyyy")</f>
        <v>Jan-2024</v>
      </c>
    </row>
    <row r="182" spans="1:9" x14ac:dyDescent="0.3">
      <c r="A182" s="1">
        <v>45905</v>
      </c>
      <c r="B182" t="s">
        <v>12</v>
      </c>
      <c r="C182" t="s">
        <v>29</v>
      </c>
      <c r="D182" t="s">
        <v>30</v>
      </c>
      <c r="E182" t="s">
        <v>27</v>
      </c>
      <c r="F182">
        <v>6</v>
      </c>
      <c r="G182">
        <v>309.83</v>
      </c>
      <c r="H182">
        <v>1858.98</v>
      </c>
      <c r="I182" t="str">
        <f>TEXT(SalesData[[#This Row],[Order Date]],"mmm-yyyy")</f>
        <v>Sep-2025</v>
      </c>
    </row>
    <row r="183" spans="1:9" x14ac:dyDescent="0.3">
      <c r="A183" s="1">
        <v>45623</v>
      </c>
      <c r="B183" t="s">
        <v>12</v>
      </c>
      <c r="C183" t="s">
        <v>21</v>
      </c>
      <c r="D183" t="s">
        <v>10</v>
      </c>
      <c r="E183" t="s">
        <v>13</v>
      </c>
      <c r="F183">
        <v>3</v>
      </c>
      <c r="G183">
        <v>41.52</v>
      </c>
      <c r="H183">
        <v>124.56</v>
      </c>
      <c r="I183" t="str">
        <f>TEXT(SalesData[[#This Row],[Order Date]],"mmm-yyyy")</f>
        <v>Nov-2024</v>
      </c>
    </row>
    <row r="184" spans="1:9" x14ac:dyDescent="0.3">
      <c r="A184" s="1">
        <v>45792</v>
      </c>
      <c r="B184" t="s">
        <v>8</v>
      </c>
      <c r="C184" t="s">
        <v>29</v>
      </c>
      <c r="D184" t="s">
        <v>30</v>
      </c>
      <c r="E184" t="s">
        <v>17</v>
      </c>
      <c r="F184">
        <v>8</v>
      </c>
      <c r="G184">
        <v>347.18</v>
      </c>
      <c r="H184">
        <v>2777.44</v>
      </c>
      <c r="I184" t="str">
        <f>TEXT(SalesData[[#This Row],[Order Date]],"mmm-yyyy")</f>
        <v>May-2025</v>
      </c>
    </row>
    <row r="185" spans="1:9" x14ac:dyDescent="0.3">
      <c r="A185" s="1">
        <v>45311</v>
      </c>
      <c r="B185" t="s">
        <v>20</v>
      </c>
      <c r="C185" t="s">
        <v>22</v>
      </c>
      <c r="D185" t="s">
        <v>10</v>
      </c>
      <c r="E185" t="s">
        <v>31</v>
      </c>
      <c r="F185">
        <v>7</v>
      </c>
      <c r="G185">
        <v>75.28</v>
      </c>
      <c r="H185">
        <v>526.96</v>
      </c>
      <c r="I185" t="str">
        <f>TEXT(SalesData[[#This Row],[Order Date]],"mmm-yyyy")</f>
        <v>Jan-2024</v>
      </c>
    </row>
    <row r="186" spans="1:9" x14ac:dyDescent="0.3">
      <c r="A186" s="1">
        <v>45406</v>
      </c>
      <c r="B186" t="s">
        <v>8</v>
      </c>
      <c r="C186" t="s">
        <v>24</v>
      </c>
      <c r="D186" t="s">
        <v>19</v>
      </c>
      <c r="E186" t="s">
        <v>13</v>
      </c>
      <c r="F186">
        <v>6</v>
      </c>
      <c r="G186">
        <v>237.9</v>
      </c>
      <c r="H186">
        <v>1427.4</v>
      </c>
      <c r="I186" t="str">
        <f>TEXT(SalesData[[#This Row],[Order Date]],"mmm-yyyy")</f>
        <v>Apr-2024</v>
      </c>
    </row>
    <row r="187" spans="1:9" x14ac:dyDescent="0.3">
      <c r="A187" s="1">
        <v>45663</v>
      </c>
      <c r="B187" t="s">
        <v>20</v>
      </c>
      <c r="C187" t="s">
        <v>29</v>
      </c>
      <c r="D187" t="s">
        <v>30</v>
      </c>
      <c r="E187" t="s">
        <v>27</v>
      </c>
      <c r="F187">
        <v>8</v>
      </c>
      <c r="G187">
        <v>330.24</v>
      </c>
      <c r="H187">
        <v>2641.92</v>
      </c>
      <c r="I187" t="str">
        <f>TEXT(SalesData[[#This Row],[Order Date]],"mmm-yyyy")</f>
        <v>Jan-2025</v>
      </c>
    </row>
    <row r="188" spans="1:9" x14ac:dyDescent="0.3">
      <c r="A188" s="1">
        <v>45606</v>
      </c>
      <c r="B188" t="s">
        <v>12</v>
      </c>
      <c r="C188" t="s">
        <v>9</v>
      </c>
      <c r="D188" t="s">
        <v>10</v>
      </c>
      <c r="E188" t="s">
        <v>27</v>
      </c>
      <c r="F188">
        <v>7</v>
      </c>
      <c r="G188">
        <v>31.9</v>
      </c>
      <c r="H188">
        <v>223.3</v>
      </c>
      <c r="I188" t="str">
        <f>TEXT(SalesData[[#This Row],[Order Date]],"mmm-yyyy")</f>
        <v>Nov-2024</v>
      </c>
    </row>
    <row r="189" spans="1:9" x14ac:dyDescent="0.3">
      <c r="A189" s="1">
        <v>45537</v>
      </c>
      <c r="B189" t="s">
        <v>14</v>
      </c>
      <c r="C189" t="s">
        <v>9</v>
      </c>
      <c r="D189" t="s">
        <v>10</v>
      </c>
      <c r="E189" t="s">
        <v>26</v>
      </c>
      <c r="F189">
        <v>5</v>
      </c>
      <c r="G189">
        <v>30.33</v>
      </c>
      <c r="H189">
        <v>151.65</v>
      </c>
      <c r="I189" t="str">
        <f>TEXT(SalesData[[#This Row],[Order Date]],"mmm-yyyy")</f>
        <v>Sep-2024</v>
      </c>
    </row>
    <row r="190" spans="1:9" x14ac:dyDescent="0.3">
      <c r="A190" s="1">
        <v>45351</v>
      </c>
      <c r="B190" t="s">
        <v>20</v>
      </c>
      <c r="C190" t="s">
        <v>29</v>
      </c>
      <c r="D190" t="s">
        <v>30</v>
      </c>
      <c r="E190" t="s">
        <v>13</v>
      </c>
      <c r="F190">
        <v>5</v>
      </c>
      <c r="G190">
        <v>321.89999999999998</v>
      </c>
      <c r="H190">
        <v>1609.5</v>
      </c>
      <c r="I190" t="str">
        <f>TEXT(SalesData[[#This Row],[Order Date]],"mmm-yyyy")</f>
        <v>Feb-2024</v>
      </c>
    </row>
    <row r="191" spans="1:9" x14ac:dyDescent="0.3">
      <c r="A191" s="1">
        <v>45538</v>
      </c>
      <c r="B191" t="s">
        <v>8</v>
      </c>
      <c r="C191" t="s">
        <v>18</v>
      </c>
      <c r="D191" t="s">
        <v>19</v>
      </c>
      <c r="E191" t="s">
        <v>26</v>
      </c>
      <c r="F191">
        <v>8</v>
      </c>
      <c r="G191">
        <v>853.53</v>
      </c>
      <c r="H191">
        <v>6828.24</v>
      </c>
      <c r="I191" t="str">
        <f>TEXT(SalesData[[#This Row],[Order Date]],"mmm-yyyy")</f>
        <v>Sep-2024</v>
      </c>
    </row>
    <row r="192" spans="1:9" x14ac:dyDescent="0.3">
      <c r="A192" s="1">
        <v>45872</v>
      </c>
      <c r="B192" t="s">
        <v>14</v>
      </c>
      <c r="C192" t="s">
        <v>21</v>
      </c>
      <c r="D192" t="s">
        <v>10</v>
      </c>
      <c r="E192" t="s">
        <v>28</v>
      </c>
      <c r="F192">
        <v>7</v>
      </c>
      <c r="G192">
        <v>41.34</v>
      </c>
      <c r="H192">
        <v>289.38</v>
      </c>
      <c r="I192" t="str">
        <f>TEXT(SalesData[[#This Row],[Order Date]],"mmm-yyyy")</f>
        <v>Aug-2025</v>
      </c>
    </row>
    <row r="193" spans="1:9" x14ac:dyDescent="0.3">
      <c r="A193" s="1">
        <v>45372</v>
      </c>
      <c r="B193" t="s">
        <v>12</v>
      </c>
      <c r="C193" t="s">
        <v>24</v>
      </c>
      <c r="D193" t="s">
        <v>19</v>
      </c>
      <c r="E193" t="s">
        <v>11</v>
      </c>
      <c r="F193">
        <v>7</v>
      </c>
      <c r="G193">
        <v>269.86</v>
      </c>
      <c r="H193">
        <v>1889.02</v>
      </c>
      <c r="I193" t="str">
        <f>TEXT(SalesData[[#This Row],[Order Date]],"mmm-yyyy")</f>
        <v>Mar-2024</v>
      </c>
    </row>
    <row r="194" spans="1:9" x14ac:dyDescent="0.3">
      <c r="A194" s="1">
        <v>45379</v>
      </c>
      <c r="B194" t="s">
        <v>12</v>
      </c>
      <c r="C194" t="s">
        <v>18</v>
      </c>
      <c r="D194" t="s">
        <v>19</v>
      </c>
      <c r="E194" t="s">
        <v>28</v>
      </c>
      <c r="F194">
        <v>8</v>
      </c>
      <c r="G194">
        <v>972.08</v>
      </c>
      <c r="H194">
        <v>7776.64</v>
      </c>
      <c r="I194" t="str">
        <f>TEXT(SalesData[[#This Row],[Order Date]],"mmm-yyyy")</f>
        <v>Mar-2024</v>
      </c>
    </row>
    <row r="195" spans="1:9" x14ac:dyDescent="0.3">
      <c r="A195" s="1">
        <v>45789</v>
      </c>
      <c r="B195" t="s">
        <v>8</v>
      </c>
      <c r="C195" t="s">
        <v>15</v>
      </c>
      <c r="D195" t="s">
        <v>16</v>
      </c>
      <c r="E195" t="s">
        <v>23</v>
      </c>
      <c r="F195">
        <v>7</v>
      </c>
      <c r="G195">
        <v>410.65</v>
      </c>
      <c r="H195">
        <v>2874.55</v>
      </c>
      <c r="I195" t="str">
        <f>TEXT(SalesData[[#This Row],[Order Date]],"mmm-yyyy")</f>
        <v>May-2025</v>
      </c>
    </row>
    <row r="196" spans="1:9" x14ac:dyDescent="0.3">
      <c r="A196" s="1">
        <v>45362</v>
      </c>
      <c r="B196" t="s">
        <v>12</v>
      </c>
      <c r="C196" t="s">
        <v>24</v>
      </c>
      <c r="D196" t="s">
        <v>19</v>
      </c>
      <c r="E196" t="s">
        <v>28</v>
      </c>
      <c r="F196">
        <v>7</v>
      </c>
      <c r="G196">
        <v>241.95</v>
      </c>
      <c r="H196">
        <v>1693.65</v>
      </c>
      <c r="I196" t="str">
        <f>TEXT(SalesData[[#This Row],[Order Date]],"mmm-yyyy")</f>
        <v>Mar-2024</v>
      </c>
    </row>
    <row r="197" spans="1:9" x14ac:dyDescent="0.3">
      <c r="A197" s="1">
        <v>45837</v>
      </c>
      <c r="B197" t="s">
        <v>20</v>
      </c>
      <c r="C197" t="s">
        <v>21</v>
      </c>
      <c r="D197" t="s">
        <v>10</v>
      </c>
      <c r="E197" t="s">
        <v>13</v>
      </c>
      <c r="F197">
        <v>8</v>
      </c>
      <c r="G197">
        <v>43.64</v>
      </c>
      <c r="H197">
        <v>349.12</v>
      </c>
      <c r="I197" t="str">
        <f>TEXT(SalesData[[#This Row],[Order Date]],"mmm-yyyy")</f>
        <v>Jun-2025</v>
      </c>
    </row>
    <row r="198" spans="1:9" x14ac:dyDescent="0.3">
      <c r="A198" s="1">
        <v>45420</v>
      </c>
      <c r="B198" t="s">
        <v>14</v>
      </c>
      <c r="C198" t="s">
        <v>15</v>
      </c>
      <c r="D198" t="s">
        <v>16</v>
      </c>
      <c r="E198" t="s">
        <v>11</v>
      </c>
      <c r="F198">
        <v>2</v>
      </c>
      <c r="G198">
        <v>418.08</v>
      </c>
      <c r="H198">
        <v>836.16</v>
      </c>
      <c r="I198" t="str">
        <f>TEXT(SalesData[[#This Row],[Order Date]],"mmm-yyyy")</f>
        <v>May-2024</v>
      </c>
    </row>
    <row r="199" spans="1:9" x14ac:dyDescent="0.3">
      <c r="A199" s="1">
        <v>45423</v>
      </c>
      <c r="B199" t="s">
        <v>8</v>
      </c>
      <c r="C199" t="s">
        <v>15</v>
      </c>
      <c r="D199" t="s">
        <v>16</v>
      </c>
      <c r="E199" t="s">
        <v>23</v>
      </c>
      <c r="F199">
        <v>2</v>
      </c>
      <c r="G199">
        <v>431.77</v>
      </c>
      <c r="H199">
        <v>863.54</v>
      </c>
      <c r="I199" t="str">
        <f>TEXT(SalesData[[#This Row],[Order Date]],"mmm-yyyy")</f>
        <v>May-2024</v>
      </c>
    </row>
    <row r="200" spans="1:9" x14ac:dyDescent="0.3">
      <c r="A200" s="1">
        <v>45967</v>
      </c>
      <c r="B200" t="s">
        <v>20</v>
      </c>
      <c r="C200" t="s">
        <v>25</v>
      </c>
      <c r="D200" t="s">
        <v>16</v>
      </c>
      <c r="E200" t="s">
        <v>26</v>
      </c>
      <c r="F200">
        <v>4</v>
      </c>
      <c r="G200">
        <v>193.94</v>
      </c>
      <c r="H200">
        <v>775.76</v>
      </c>
      <c r="I200" t="str">
        <f>TEXT(SalesData[[#This Row],[Order Date]],"mmm-yyyy")</f>
        <v>Nov-2025</v>
      </c>
    </row>
    <row r="201" spans="1:9" x14ac:dyDescent="0.3">
      <c r="A201" s="1">
        <v>45778</v>
      </c>
      <c r="B201" t="s">
        <v>14</v>
      </c>
      <c r="C201" t="s">
        <v>24</v>
      </c>
      <c r="D201" t="s">
        <v>19</v>
      </c>
      <c r="E201" t="s">
        <v>28</v>
      </c>
      <c r="F201">
        <v>2</v>
      </c>
      <c r="G201">
        <v>263.99</v>
      </c>
      <c r="H201">
        <v>527.98</v>
      </c>
      <c r="I201" t="str">
        <f>TEXT(SalesData[[#This Row],[Order Date]],"mmm-yyyy")</f>
        <v>May-2025</v>
      </c>
    </row>
    <row r="202" spans="1:9" x14ac:dyDescent="0.3">
      <c r="A202" s="1">
        <v>45854</v>
      </c>
      <c r="B202" t="s">
        <v>14</v>
      </c>
      <c r="C202" t="s">
        <v>25</v>
      </c>
      <c r="D202" t="s">
        <v>16</v>
      </c>
      <c r="E202" t="s">
        <v>13</v>
      </c>
      <c r="F202">
        <v>3</v>
      </c>
      <c r="G202">
        <v>185.11</v>
      </c>
      <c r="H202">
        <v>555.33000000000004</v>
      </c>
      <c r="I202" t="str">
        <f>TEXT(SalesData[[#This Row],[Order Date]],"mmm-yyyy")</f>
        <v>Jul-2025</v>
      </c>
    </row>
    <row r="203" spans="1:9" x14ac:dyDescent="0.3">
      <c r="A203" s="1">
        <v>45461</v>
      </c>
      <c r="B203" t="s">
        <v>14</v>
      </c>
      <c r="C203" t="s">
        <v>21</v>
      </c>
      <c r="D203" t="s">
        <v>10</v>
      </c>
      <c r="E203" t="s">
        <v>26</v>
      </c>
      <c r="F203">
        <v>5</v>
      </c>
      <c r="G203">
        <v>41.26</v>
      </c>
      <c r="H203">
        <v>206.3</v>
      </c>
      <c r="I203" t="str">
        <f>TEXT(SalesData[[#This Row],[Order Date]],"mmm-yyyy")</f>
        <v>Jun-2024</v>
      </c>
    </row>
    <row r="204" spans="1:9" x14ac:dyDescent="0.3">
      <c r="A204" s="1">
        <v>45563</v>
      </c>
      <c r="B204" t="s">
        <v>14</v>
      </c>
      <c r="C204" t="s">
        <v>21</v>
      </c>
      <c r="D204" t="s">
        <v>10</v>
      </c>
      <c r="E204" t="s">
        <v>17</v>
      </c>
      <c r="F204">
        <v>2</v>
      </c>
      <c r="G204">
        <v>41.95</v>
      </c>
      <c r="H204">
        <v>83.9</v>
      </c>
      <c r="I204" t="str">
        <f>TEXT(SalesData[[#This Row],[Order Date]],"mmm-yyyy")</f>
        <v>Sep-2024</v>
      </c>
    </row>
    <row r="205" spans="1:9" x14ac:dyDescent="0.3">
      <c r="A205" s="1">
        <v>45832</v>
      </c>
      <c r="B205" t="s">
        <v>20</v>
      </c>
      <c r="C205" t="s">
        <v>22</v>
      </c>
      <c r="D205" t="s">
        <v>10</v>
      </c>
      <c r="E205" t="s">
        <v>28</v>
      </c>
      <c r="F205">
        <v>8</v>
      </c>
      <c r="G205">
        <v>75.58</v>
      </c>
      <c r="H205">
        <v>604.64</v>
      </c>
      <c r="I205" t="str">
        <f>TEXT(SalesData[[#This Row],[Order Date]],"mmm-yyyy")</f>
        <v>Jun-2025</v>
      </c>
    </row>
    <row r="206" spans="1:9" x14ac:dyDescent="0.3">
      <c r="A206" s="1">
        <v>45913</v>
      </c>
      <c r="B206" t="s">
        <v>12</v>
      </c>
      <c r="C206" t="s">
        <v>21</v>
      </c>
      <c r="D206" t="s">
        <v>10</v>
      </c>
      <c r="E206" t="s">
        <v>17</v>
      </c>
      <c r="F206">
        <v>8</v>
      </c>
      <c r="G206">
        <v>45.96</v>
      </c>
      <c r="H206">
        <v>367.68</v>
      </c>
      <c r="I206" t="str">
        <f>TEXT(SalesData[[#This Row],[Order Date]],"mmm-yyyy")</f>
        <v>Sep-2025</v>
      </c>
    </row>
    <row r="207" spans="1:9" x14ac:dyDescent="0.3">
      <c r="A207" s="1">
        <v>45725</v>
      </c>
      <c r="B207" t="s">
        <v>20</v>
      </c>
      <c r="C207" t="s">
        <v>22</v>
      </c>
      <c r="D207" t="s">
        <v>10</v>
      </c>
      <c r="E207" t="s">
        <v>27</v>
      </c>
      <c r="F207">
        <v>5</v>
      </c>
      <c r="G207">
        <v>63.13</v>
      </c>
      <c r="H207">
        <v>315.64999999999998</v>
      </c>
      <c r="I207" t="str">
        <f>TEXT(SalesData[[#This Row],[Order Date]],"mmm-yyyy")</f>
        <v>Mar-2025</v>
      </c>
    </row>
    <row r="208" spans="1:9" x14ac:dyDescent="0.3">
      <c r="A208" s="1">
        <v>45508</v>
      </c>
      <c r="B208" t="s">
        <v>20</v>
      </c>
      <c r="C208" t="s">
        <v>25</v>
      </c>
      <c r="D208" t="s">
        <v>16</v>
      </c>
      <c r="E208" t="s">
        <v>17</v>
      </c>
      <c r="F208">
        <v>2</v>
      </c>
      <c r="G208">
        <v>165.65</v>
      </c>
      <c r="H208">
        <v>331.3</v>
      </c>
      <c r="I208" t="str">
        <f>TEXT(SalesData[[#This Row],[Order Date]],"mmm-yyyy")</f>
        <v>Aug-2024</v>
      </c>
    </row>
    <row r="209" spans="1:9" x14ac:dyDescent="0.3">
      <c r="A209" s="1">
        <v>45844</v>
      </c>
      <c r="B209" t="s">
        <v>12</v>
      </c>
      <c r="C209" t="s">
        <v>22</v>
      </c>
      <c r="D209" t="s">
        <v>10</v>
      </c>
      <c r="E209" t="s">
        <v>28</v>
      </c>
      <c r="F209">
        <v>1</v>
      </c>
      <c r="G209">
        <v>72.290000000000006</v>
      </c>
      <c r="H209">
        <v>72.290000000000006</v>
      </c>
      <c r="I209" t="str">
        <f>TEXT(SalesData[[#This Row],[Order Date]],"mmm-yyyy")</f>
        <v>Jul-2025</v>
      </c>
    </row>
    <row r="210" spans="1:9" x14ac:dyDescent="0.3">
      <c r="A210" s="1">
        <v>45998</v>
      </c>
      <c r="B210" t="s">
        <v>12</v>
      </c>
      <c r="C210" t="s">
        <v>29</v>
      </c>
      <c r="D210" t="s">
        <v>30</v>
      </c>
      <c r="E210" t="s">
        <v>11</v>
      </c>
      <c r="F210">
        <v>2</v>
      </c>
      <c r="G210">
        <v>288.32</v>
      </c>
      <c r="H210">
        <v>576.64</v>
      </c>
      <c r="I210" t="str">
        <f>TEXT(SalesData[[#This Row],[Order Date]],"mmm-yyyy")</f>
        <v>Dec-2025</v>
      </c>
    </row>
    <row r="211" spans="1:9" x14ac:dyDescent="0.3">
      <c r="A211" s="1">
        <v>45497</v>
      </c>
      <c r="B211" t="s">
        <v>8</v>
      </c>
      <c r="C211" t="s">
        <v>22</v>
      </c>
      <c r="D211" t="s">
        <v>10</v>
      </c>
      <c r="E211" t="s">
        <v>31</v>
      </c>
      <c r="F211">
        <v>1</v>
      </c>
      <c r="G211">
        <v>65.25</v>
      </c>
      <c r="H211">
        <v>65.25</v>
      </c>
      <c r="I211" t="str">
        <f>TEXT(SalesData[[#This Row],[Order Date]],"mmm-yyyy")</f>
        <v>Jul-2024</v>
      </c>
    </row>
    <row r="212" spans="1:9" x14ac:dyDescent="0.3">
      <c r="A212" s="1">
        <v>46022</v>
      </c>
      <c r="B212" t="s">
        <v>14</v>
      </c>
      <c r="C212" t="s">
        <v>25</v>
      </c>
      <c r="D212" t="s">
        <v>16</v>
      </c>
      <c r="E212" t="s">
        <v>27</v>
      </c>
      <c r="F212">
        <v>8</v>
      </c>
      <c r="G212">
        <v>181.75</v>
      </c>
      <c r="H212">
        <v>1454</v>
      </c>
      <c r="I212" t="str">
        <f>TEXT(SalesData[[#This Row],[Order Date]],"mmm-yyyy")</f>
        <v>Dec-2025</v>
      </c>
    </row>
    <row r="213" spans="1:9" x14ac:dyDescent="0.3">
      <c r="A213" s="1">
        <v>45611</v>
      </c>
      <c r="B213" t="s">
        <v>20</v>
      </c>
      <c r="C213" t="s">
        <v>22</v>
      </c>
      <c r="D213" t="s">
        <v>10</v>
      </c>
      <c r="E213" t="s">
        <v>13</v>
      </c>
      <c r="F213">
        <v>2</v>
      </c>
      <c r="G213">
        <v>72.69</v>
      </c>
      <c r="H213">
        <v>145.38</v>
      </c>
      <c r="I213" t="str">
        <f>TEXT(SalesData[[#This Row],[Order Date]],"mmm-yyyy")</f>
        <v>Nov-2024</v>
      </c>
    </row>
    <row r="214" spans="1:9" x14ac:dyDescent="0.3">
      <c r="A214" s="1">
        <v>45700</v>
      </c>
      <c r="B214" t="s">
        <v>14</v>
      </c>
      <c r="C214" t="s">
        <v>21</v>
      </c>
      <c r="D214" t="s">
        <v>10</v>
      </c>
      <c r="E214" t="s">
        <v>17</v>
      </c>
      <c r="F214">
        <v>1</v>
      </c>
      <c r="G214">
        <v>46.37</v>
      </c>
      <c r="H214">
        <v>46.37</v>
      </c>
      <c r="I214" t="str">
        <f>TEXT(SalesData[[#This Row],[Order Date]],"mmm-yyyy")</f>
        <v>Feb-2025</v>
      </c>
    </row>
    <row r="215" spans="1:9" x14ac:dyDescent="0.3">
      <c r="A215" s="1">
        <v>45979</v>
      </c>
      <c r="B215" t="s">
        <v>20</v>
      </c>
      <c r="C215" t="s">
        <v>22</v>
      </c>
      <c r="D215" t="s">
        <v>10</v>
      </c>
      <c r="E215" t="s">
        <v>28</v>
      </c>
      <c r="F215">
        <v>3</v>
      </c>
      <c r="G215">
        <v>66.14</v>
      </c>
      <c r="H215">
        <v>198.42</v>
      </c>
      <c r="I215" t="str">
        <f>TEXT(SalesData[[#This Row],[Order Date]],"mmm-yyyy")</f>
        <v>Nov-2025</v>
      </c>
    </row>
    <row r="216" spans="1:9" x14ac:dyDescent="0.3">
      <c r="A216" s="1">
        <v>45957</v>
      </c>
      <c r="B216" t="s">
        <v>8</v>
      </c>
      <c r="C216" t="s">
        <v>29</v>
      </c>
      <c r="D216" t="s">
        <v>30</v>
      </c>
      <c r="E216" t="s">
        <v>28</v>
      </c>
      <c r="F216">
        <v>7</v>
      </c>
      <c r="G216">
        <v>333.58</v>
      </c>
      <c r="H216">
        <v>2335.06</v>
      </c>
      <c r="I216" t="str">
        <f>TEXT(SalesData[[#This Row],[Order Date]],"mmm-yyyy")</f>
        <v>Oct-2025</v>
      </c>
    </row>
    <row r="217" spans="1:9" x14ac:dyDescent="0.3">
      <c r="A217" s="1">
        <v>45674</v>
      </c>
      <c r="B217" t="s">
        <v>12</v>
      </c>
      <c r="C217" t="s">
        <v>18</v>
      </c>
      <c r="D217" t="s">
        <v>19</v>
      </c>
      <c r="E217" t="s">
        <v>28</v>
      </c>
      <c r="F217">
        <v>6</v>
      </c>
      <c r="G217">
        <v>852.7</v>
      </c>
      <c r="H217">
        <v>5116.2</v>
      </c>
      <c r="I217" t="str">
        <f>TEXT(SalesData[[#This Row],[Order Date]],"mmm-yyyy")</f>
        <v>Jan-2025</v>
      </c>
    </row>
    <row r="218" spans="1:9" x14ac:dyDescent="0.3">
      <c r="A218" s="1">
        <v>45740</v>
      </c>
      <c r="B218" t="s">
        <v>20</v>
      </c>
      <c r="C218" t="s">
        <v>24</v>
      </c>
      <c r="D218" t="s">
        <v>19</v>
      </c>
      <c r="E218" t="s">
        <v>23</v>
      </c>
      <c r="F218">
        <v>7</v>
      </c>
      <c r="G218">
        <v>241.27</v>
      </c>
      <c r="H218">
        <v>1688.89</v>
      </c>
      <c r="I218" t="str">
        <f>TEXT(SalesData[[#This Row],[Order Date]],"mmm-yyyy")</f>
        <v>Mar-2025</v>
      </c>
    </row>
    <row r="219" spans="1:9" x14ac:dyDescent="0.3">
      <c r="A219" s="1">
        <v>45821</v>
      </c>
      <c r="B219" t="s">
        <v>12</v>
      </c>
      <c r="C219" t="s">
        <v>21</v>
      </c>
      <c r="D219" t="s">
        <v>10</v>
      </c>
      <c r="E219" t="s">
        <v>26</v>
      </c>
      <c r="F219">
        <v>6</v>
      </c>
      <c r="G219">
        <v>47.22</v>
      </c>
      <c r="H219">
        <v>283.32</v>
      </c>
      <c r="I219" t="str">
        <f>TEXT(SalesData[[#This Row],[Order Date]],"mmm-yyyy")</f>
        <v>Jun-2025</v>
      </c>
    </row>
    <row r="220" spans="1:9" x14ac:dyDescent="0.3">
      <c r="A220" s="1">
        <v>45754</v>
      </c>
      <c r="B220" t="s">
        <v>8</v>
      </c>
      <c r="C220" t="s">
        <v>25</v>
      </c>
      <c r="D220" t="s">
        <v>16</v>
      </c>
      <c r="E220" t="s">
        <v>26</v>
      </c>
      <c r="F220">
        <v>5</v>
      </c>
      <c r="G220">
        <v>185.39</v>
      </c>
      <c r="H220">
        <v>926.95</v>
      </c>
      <c r="I220" t="str">
        <f>TEXT(SalesData[[#This Row],[Order Date]],"mmm-yyyy")</f>
        <v>Apr-2025</v>
      </c>
    </row>
    <row r="221" spans="1:9" x14ac:dyDescent="0.3">
      <c r="A221" s="1">
        <v>45415</v>
      </c>
      <c r="B221" t="s">
        <v>8</v>
      </c>
      <c r="C221" t="s">
        <v>24</v>
      </c>
      <c r="D221" t="s">
        <v>19</v>
      </c>
      <c r="E221" t="s">
        <v>28</v>
      </c>
      <c r="F221">
        <v>5</v>
      </c>
      <c r="G221">
        <v>267.45999999999998</v>
      </c>
      <c r="H221">
        <v>1337.3</v>
      </c>
      <c r="I221" t="str">
        <f>TEXT(SalesData[[#This Row],[Order Date]],"mmm-yyyy")</f>
        <v>May-2024</v>
      </c>
    </row>
    <row r="222" spans="1:9" x14ac:dyDescent="0.3">
      <c r="A222" s="1">
        <v>45545</v>
      </c>
      <c r="B222" t="s">
        <v>8</v>
      </c>
      <c r="C222" t="s">
        <v>21</v>
      </c>
      <c r="D222" t="s">
        <v>10</v>
      </c>
      <c r="E222" t="s">
        <v>28</v>
      </c>
      <c r="F222">
        <v>2</v>
      </c>
      <c r="G222">
        <v>46.42</v>
      </c>
      <c r="H222">
        <v>92.84</v>
      </c>
      <c r="I222" t="str">
        <f>TEXT(SalesData[[#This Row],[Order Date]],"mmm-yyyy")</f>
        <v>Sep-2024</v>
      </c>
    </row>
    <row r="223" spans="1:9" x14ac:dyDescent="0.3">
      <c r="A223" s="1">
        <v>45522</v>
      </c>
      <c r="B223" t="s">
        <v>20</v>
      </c>
      <c r="C223" t="s">
        <v>18</v>
      </c>
      <c r="D223" t="s">
        <v>19</v>
      </c>
      <c r="E223" t="s">
        <v>26</v>
      </c>
      <c r="F223">
        <v>6</v>
      </c>
      <c r="G223">
        <v>912.3</v>
      </c>
      <c r="H223">
        <v>5473.8</v>
      </c>
      <c r="I223" t="str">
        <f>TEXT(SalesData[[#This Row],[Order Date]],"mmm-yyyy")</f>
        <v>Aug-2024</v>
      </c>
    </row>
    <row r="224" spans="1:9" x14ac:dyDescent="0.3">
      <c r="A224" s="1">
        <v>45357</v>
      </c>
      <c r="B224" t="s">
        <v>8</v>
      </c>
      <c r="C224" t="s">
        <v>9</v>
      </c>
      <c r="D224" t="s">
        <v>10</v>
      </c>
      <c r="E224" t="s">
        <v>31</v>
      </c>
      <c r="F224">
        <v>6</v>
      </c>
      <c r="G224">
        <v>27.56</v>
      </c>
      <c r="H224">
        <v>165.36</v>
      </c>
      <c r="I224" t="str">
        <f>TEXT(SalesData[[#This Row],[Order Date]],"mmm-yyyy")</f>
        <v>Mar-2024</v>
      </c>
    </row>
    <row r="225" spans="1:9" x14ac:dyDescent="0.3">
      <c r="A225" s="1">
        <v>45638</v>
      </c>
      <c r="B225" t="s">
        <v>14</v>
      </c>
      <c r="C225" t="s">
        <v>9</v>
      </c>
      <c r="D225" t="s">
        <v>10</v>
      </c>
      <c r="E225" t="s">
        <v>13</v>
      </c>
      <c r="F225">
        <v>3</v>
      </c>
      <c r="G225">
        <v>29.21</v>
      </c>
      <c r="H225">
        <v>87.63</v>
      </c>
      <c r="I225" t="str">
        <f>TEXT(SalesData[[#This Row],[Order Date]],"mmm-yyyy")</f>
        <v>Dec-2024</v>
      </c>
    </row>
    <row r="226" spans="1:9" x14ac:dyDescent="0.3">
      <c r="A226" s="1">
        <v>45313</v>
      </c>
      <c r="B226" t="s">
        <v>12</v>
      </c>
      <c r="C226" t="s">
        <v>29</v>
      </c>
      <c r="D226" t="s">
        <v>30</v>
      </c>
      <c r="E226" t="s">
        <v>28</v>
      </c>
      <c r="F226">
        <v>2</v>
      </c>
      <c r="G226">
        <v>304.97000000000003</v>
      </c>
      <c r="H226">
        <v>609.94000000000005</v>
      </c>
      <c r="I226" t="str">
        <f>TEXT(SalesData[[#This Row],[Order Date]],"mmm-yyyy")</f>
        <v>Jan-2024</v>
      </c>
    </row>
    <row r="227" spans="1:9" x14ac:dyDescent="0.3">
      <c r="A227" s="1">
        <v>45894</v>
      </c>
      <c r="B227" t="s">
        <v>14</v>
      </c>
      <c r="C227" t="s">
        <v>21</v>
      </c>
      <c r="D227" t="s">
        <v>10</v>
      </c>
      <c r="E227" t="s">
        <v>26</v>
      </c>
      <c r="F227">
        <v>7</v>
      </c>
      <c r="G227">
        <v>42.7</v>
      </c>
      <c r="H227">
        <v>298.89999999999998</v>
      </c>
      <c r="I227" t="str">
        <f>TEXT(SalesData[[#This Row],[Order Date]],"mmm-yyyy")</f>
        <v>Aug-2025</v>
      </c>
    </row>
    <row r="228" spans="1:9" x14ac:dyDescent="0.3">
      <c r="A228" s="1">
        <v>45859</v>
      </c>
      <c r="B228" t="s">
        <v>8</v>
      </c>
      <c r="C228" t="s">
        <v>21</v>
      </c>
      <c r="D228" t="s">
        <v>10</v>
      </c>
      <c r="E228" t="s">
        <v>27</v>
      </c>
      <c r="F228">
        <v>3</v>
      </c>
      <c r="G228">
        <v>49.26</v>
      </c>
      <c r="H228">
        <v>147.78</v>
      </c>
      <c r="I228" t="str">
        <f>TEXT(SalesData[[#This Row],[Order Date]],"mmm-yyyy")</f>
        <v>Jul-2025</v>
      </c>
    </row>
    <row r="229" spans="1:9" x14ac:dyDescent="0.3">
      <c r="A229" s="1">
        <v>45527</v>
      </c>
      <c r="B229" t="s">
        <v>14</v>
      </c>
      <c r="C229" t="s">
        <v>15</v>
      </c>
      <c r="D229" t="s">
        <v>16</v>
      </c>
      <c r="E229" t="s">
        <v>17</v>
      </c>
      <c r="F229">
        <v>6</v>
      </c>
      <c r="G229">
        <v>391.45</v>
      </c>
      <c r="H229">
        <v>2348.6999999999998</v>
      </c>
      <c r="I229" t="str">
        <f>TEXT(SalesData[[#This Row],[Order Date]],"mmm-yyyy")</f>
        <v>Aug-2024</v>
      </c>
    </row>
    <row r="230" spans="1:9" x14ac:dyDescent="0.3">
      <c r="A230" s="1">
        <v>45894</v>
      </c>
      <c r="B230" t="s">
        <v>14</v>
      </c>
      <c r="C230" t="s">
        <v>29</v>
      </c>
      <c r="D230" t="s">
        <v>30</v>
      </c>
      <c r="E230" t="s">
        <v>31</v>
      </c>
      <c r="F230">
        <v>8</v>
      </c>
      <c r="G230">
        <v>345.09</v>
      </c>
      <c r="H230">
        <v>2760.72</v>
      </c>
      <c r="I230" t="str">
        <f>TEXT(SalesData[[#This Row],[Order Date]],"mmm-yyyy")</f>
        <v>Aug-2025</v>
      </c>
    </row>
    <row r="231" spans="1:9" x14ac:dyDescent="0.3">
      <c r="A231" s="1">
        <v>45517</v>
      </c>
      <c r="B231" t="s">
        <v>14</v>
      </c>
      <c r="C231" t="s">
        <v>29</v>
      </c>
      <c r="D231" t="s">
        <v>30</v>
      </c>
      <c r="E231" t="s">
        <v>28</v>
      </c>
      <c r="F231">
        <v>8</v>
      </c>
      <c r="G231">
        <v>328.39</v>
      </c>
      <c r="H231">
        <v>2627.12</v>
      </c>
      <c r="I231" t="str">
        <f>TEXT(SalesData[[#This Row],[Order Date]],"mmm-yyyy")</f>
        <v>Aug-2024</v>
      </c>
    </row>
    <row r="232" spans="1:9" x14ac:dyDescent="0.3">
      <c r="A232" s="1">
        <v>45299</v>
      </c>
      <c r="B232" t="s">
        <v>20</v>
      </c>
      <c r="C232" t="s">
        <v>22</v>
      </c>
      <c r="D232" t="s">
        <v>10</v>
      </c>
      <c r="E232" t="s">
        <v>11</v>
      </c>
      <c r="F232">
        <v>8</v>
      </c>
      <c r="G232">
        <v>74.13</v>
      </c>
      <c r="H232">
        <v>593.04</v>
      </c>
      <c r="I232" t="str">
        <f>TEXT(SalesData[[#This Row],[Order Date]],"mmm-yyyy")</f>
        <v>Jan-2024</v>
      </c>
    </row>
    <row r="233" spans="1:9" x14ac:dyDescent="0.3">
      <c r="A233" s="1">
        <v>45364</v>
      </c>
      <c r="B233" t="s">
        <v>14</v>
      </c>
      <c r="C233" t="s">
        <v>15</v>
      </c>
      <c r="D233" t="s">
        <v>16</v>
      </c>
      <c r="E233" t="s">
        <v>26</v>
      </c>
      <c r="F233">
        <v>3</v>
      </c>
      <c r="G233">
        <v>400.21</v>
      </c>
      <c r="H233">
        <v>1200.6300000000001</v>
      </c>
      <c r="I233" t="str">
        <f>TEXT(SalesData[[#This Row],[Order Date]],"mmm-yyyy")</f>
        <v>Mar-2024</v>
      </c>
    </row>
    <row r="234" spans="1:9" x14ac:dyDescent="0.3">
      <c r="A234" s="1">
        <v>46016</v>
      </c>
      <c r="B234" t="s">
        <v>8</v>
      </c>
      <c r="C234" t="s">
        <v>29</v>
      </c>
      <c r="D234" t="s">
        <v>30</v>
      </c>
      <c r="E234" t="s">
        <v>28</v>
      </c>
      <c r="F234">
        <v>1</v>
      </c>
      <c r="G234">
        <v>324.92</v>
      </c>
      <c r="H234">
        <v>324.92</v>
      </c>
      <c r="I234" t="str">
        <f>TEXT(SalesData[[#This Row],[Order Date]],"mmm-yyyy")</f>
        <v>Dec-2025</v>
      </c>
    </row>
    <row r="235" spans="1:9" x14ac:dyDescent="0.3">
      <c r="A235" s="1">
        <v>45938</v>
      </c>
      <c r="B235" t="s">
        <v>20</v>
      </c>
      <c r="C235" t="s">
        <v>24</v>
      </c>
      <c r="D235" t="s">
        <v>19</v>
      </c>
      <c r="E235" t="s">
        <v>13</v>
      </c>
      <c r="F235">
        <v>2</v>
      </c>
      <c r="G235">
        <v>249.63</v>
      </c>
      <c r="H235">
        <v>499.26</v>
      </c>
      <c r="I235" t="str">
        <f>TEXT(SalesData[[#This Row],[Order Date]],"mmm-yyyy")</f>
        <v>Oct-2025</v>
      </c>
    </row>
    <row r="236" spans="1:9" x14ac:dyDescent="0.3">
      <c r="A236" s="1">
        <v>45352</v>
      </c>
      <c r="B236" t="s">
        <v>8</v>
      </c>
      <c r="C236" t="s">
        <v>21</v>
      </c>
      <c r="D236" t="s">
        <v>10</v>
      </c>
      <c r="E236" t="s">
        <v>26</v>
      </c>
      <c r="F236">
        <v>5</v>
      </c>
      <c r="G236">
        <v>42.26</v>
      </c>
      <c r="H236">
        <v>211.3</v>
      </c>
      <c r="I236" t="str">
        <f>TEXT(SalesData[[#This Row],[Order Date]],"mmm-yyyy")</f>
        <v>Mar-2024</v>
      </c>
    </row>
    <row r="237" spans="1:9" x14ac:dyDescent="0.3">
      <c r="A237" s="1">
        <v>45526</v>
      </c>
      <c r="B237" t="s">
        <v>14</v>
      </c>
      <c r="C237" t="s">
        <v>15</v>
      </c>
      <c r="D237" t="s">
        <v>16</v>
      </c>
      <c r="E237" t="s">
        <v>17</v>
      </c>
      <c r="F237">
        <v>2</v>
      </c>
      <c r="G237">
        <v>417.8</v>
      </c>
      <c r="H237">
        <v>835.6</v>
      </c>
      <c r="I237" t="str">
        <f>TEXT(SalesData[[#This Row],[Order Date]],"mmm-yyyy")</f>
        <v>Aug-2024</v>
      </c>
    </row>
    <row r="238" spans="1:9" x14ac:dyDescent="0.3">
      <c r="A238" s="1">
        <v>45361</v>
      </c>
      <c r="B238" t="s">
        <v>8</v>
      </c>
      <c r="C238" t="s">
        <v>25</v>
      </c>
      <c r="D238" t="s">
        <v>16</v>
      </c>
      <c r="E238" t="s">
        <v>27</v>
      </c>
      <c r="F238">
        <v>1</v>
      </c>
      <c r="G238">
        <v>172.11</v>
      </c>
      <c r="H238">
        <v>172.11</v>
      </c>
      <c r="I238" t="str">
        <f>TEXT(SalesData[[#This Row],[Order Date]],"mmm-yyyy")</f>
        <v>Mar-2024</v>
      </c>
    </row>
    <row r="239" spans="1:9" x14ac:dyDescent="0.3">
      <c r="A239" s="1">
        <v>45324</v>
      </c>
      <c r="B239" t="s">
        <v>14</v>
      </c>
      <c r="C239" t="s">
        <v>15</v>
      </c>
      <c r="D239" t="s">
        <v>16</v>
      </c>
      <c r="E239" t="s">
        <v>11</v>
      </c>
      <c r="F239">
        <v>6</v>
      </c>
      <c r="G239">
        <v>361.95</v>
      </c>
      <c r="H239">
        <v>2171.6999999999998</v>
      </c>
      <c r="I239" t="str">
        <f>TEXT(SalesData[[#This Row],[Order Date]],"mmm-yyyy")</f>
        <v>Feb-2024</v>
      </c>
    </row>
    <row r="240" spans="1:9" x14ac:dyDescent="0.3">
      <c r="A240" s="1">
        <v>45630</v>
      </c>
      <c r="B240" t="s">
        <v>14</v>
      </c>
      <c r="C240" t="s">
        <v>24</v>
      </c>
      <c r="D240" t="s">
        <v>19</v>
      </c>
      <c r="E240" t="s">
        <v>27</v>
      </c>
      <c r="F240">
        <v>6</v>
      </c>
      <c r="G240">
        <v>257.27</v>
      </c>
      <c r="H240">
        <v>1543.62</v>
      </c>
      <c r="I240" t="str">
        <f>TEXT(SalesData[[#This Row],[Order Date]],"mmm-yyyy")</f>
        <v>Dec-2024</v>
      </c>
    </row>
    <row r="241" spans="1:9" x14ac:dyDescent="0.3">
      <c r="A241" s="1">
        <v>45364</v>
      </c>
      <c r="B241" t="s">
        <v>20</v>
      </c>
      <c r="C241" t="s">
        <v>25</v>
      </c>
      <c r="D241" t="s">
        <v>16</v>
      </c>
      <c r="E241" t="s">
        <v>26</v>
      </c>
      <c r="F241">
        <v>2</v>
      </c>
      <c r="G241">
        <v>168.38</v>
      </c>
      <c r="H241">
        <v>336.76</v>
      </c>
      <c r="I241" t="str">
        <f>TEXT(SalesData[[#This Row],[Order Date]],"mmm-yyyy")</f>
        <v>Mar-2024</v>
      </c>
    </row>
    <row r="242" spans="1:9" x14ac:dyDescent="0.3">
      <c r="A242" s="1">
        <v>45818</v>
      </c>
      <c r="B242" t="s">
        <v>20</v>
      </c>
      <c r="C242" t="s">
        <v>21</v>
      </c>
      <c r="D242" t="s">
        <v>10</v>
      </c>
      <c r="E242" t="s">
        <v>17</v>
      </c>
      <c r="F242">
        <v>1</v>
      </c>
      <c r="G242">
        <v>48.96</v>
      </c>
      <c r="H242">
        <v>48.96</v>
      </c>
      <c r="I242" t="str">
        <f>TEXT(SalesData[[#This Row],[Order Date]],"mmm-yyyy")</f>
        <v>Jun-2025</v>
      </c>
    </row>
    <row r="243" spans="1:9" x14ac:dyDescent="0.3">
      <c r="A243" s="1">
        <v>45535</v>
      </c>
      <c r="B243" t="s">
        <v>8</v>
      </c>
      <c r="C243" t="s">
        <v>21</v>
      </c>
      <c r="D243" t="s">
        <v>10</v>
      </c>
      <c r="E243" t="s">
        <v>27</v>
      </c>
      <c r="F243">
        <v>8</v>
      </c>
      <c r="G243">
        <v>49.09</v>
      </c>
      <c r="H243">
        <v>392.72</v>
      </c>
      <c r="I243" t="str">
        <f>TEXT(SalesData[[#This Row],[Order Date]],"mmm-yyyy")</f>
        <v>Aug-2024</v>
      </c>
    </row>
    <row r="244" spans="1:9" x14ac:dyDescent="0.3">
      <c r="A244" s="1">
        <v>45577</v>
      </c>
      <c r="B244" t="s">
        <v>20</v>
      </c>
      <c r="C244" t="s">
        <v>24</v>
      </c>
      <c r="D244" t="s">
        <v>19</v>
      </c>
      <c r="E244" t="s">
        <v>31</v>
      </c>
      <c r="F244">
        <v>1</v>
      </c>
      <c r="G244">
        <v>270.74</v>
      </c>
      <c r="H244">
        <v>270.74</v>
      </c>
      <c r="I244" t="str">
        <f>TEXT(SalesData[[#This Row],[Order Date]],"mmm-yyyy")</f>
        <v>Oct-2024</v>
      </c>
    </row>
    <row r="245" spans="1:9" x14ac:dyDescent="0.3">
      <c r="A245" s="1">
        <v>45977</v>
      </c>
      <c r="B245" t="s">
        <v>12</v>
      </c>
      <c r="C245" t="s">
        <v>21</v>
      </c>
      <c r="D245" t="s">
        <v>10</v>
      </c>
      <c r="E245" t="s">
        <v>23</v>
      </c>
      <c r="F245">
        <v>7</v>
      </c>
      <c r="G245">
        <v>43.83</v>
      </c>
      <c r="H245">
        <v>306.81</v>
      </c>
      <c r="I245" t="str">
        <f>TEXT(SalesData[[#This Row],[Order Date]],"mmm-yyyy")</f>
        <v>Nov-2025</v>
      </c>
    </row>
    <row r="246" spans="1:9" x14ac:dyDescent="0.3">
      <c r="A246" s="1">
        <v>45789</v>
      </c>
      <c r="B246" t="s">
        <v>12</v>
      </c>
      <c r="C246" t="s">
        <v>9</v>
      </c>
      <c r="D246" t="s">
        <v>10</v>
      </c>
      <c r="E246" t="s">
        <v>27</v>
      </c>
      <c r="F246">
        <v>5</v>
      </c>
      <c r="G246">
        <v>27.09</v>
      </c>
      <c r="H246">
        <v>135.44999999999999</v>
      </c>
      <c r="I246" t="str">
        <f>TEXT(SalesData[[#This Row],[Order Date]],"mmm-yyyy")</f>
        <v>May-2025</v>
      </c>
    </row>
    <row r="247" spans="1:9" x14ac:dyDescent="0.3">
      <c r="A247" s="1">
        <v>45511</v>
      </c>
      <c r="B247" t="s">
        <v>8</v>
      </c>
      <c r="C247" t="s">
        <v>9</v>
      </c>
      <c r="D247" t="s">
        <v>10</v>
      </c>
      <c r="E247" t="s">
        <v>13</v>
      </c>
      <c r="F247">
        <v>7</v>
      </c>
      <c r="G247">
        <v>32.57</v>
      </c>
      <c r="H247">
        <v>227.99</v>
      </c>
      <c r="I247" t="str">
        <f>TEXT(SalesData[[#This Row],[Order Date]],"mmm-yyyy")</f>
        <v>Aug-2024</v>
      </c>
    </row>
    <row r="248" spans="1:9" x14ac:dyDescent="0.3">
      <c r="A248" s="1">
        <v>45844</v>
      </c>
      <c r="B248" t="s">
        <v>12</v>
      </c>
      <c r="C248" t="s">
        <v>24</v>
      </c>
      <c r="D248" t="s">
        <v>19</v>
      </c>
      <c r="E248" t="s">
        <v>31</v>
      </c>
      <c r="F248">
        <v>8</v>
      </c>
      <c r="G248">
        <v>246.41</v>
      </c>
      <c r="H248">
        <v>1971.28</v>
      </c>
      <c r="I248" t="str">
        <f>TEXT(SalesData[[#This Row],[Order Date]],"mmm-yyyy")</f>
        <v>Jul-2025</v>
      </c>
    </row>
    <row r="249" spans="1:9" x14ac:dyDescent="0.3">
      <c r="A249" s="1">
        <v>45427</v>
      </c>
      <c r="B249" t="s">
        <v>8</v>
      </c>
      <c r="C249" t="s">
        <v>21</v>
      </c>
      <c r="D249" t="s">
        <v>10</v>
      </c>
      <c r="E249" t="s">
        <v>27</v>
      </c>
      <c r="F249">
        <v>5</v>
      </c>
      <c r="G249">
        <v>49.2</v>
      </c>
      <c r="H249">
        <v>246</v>
      </c>
      <c r="I249" t="str">
        <f>TEXT(SalesData[[#This Row],[Order Date]],"mmm-yyyy")</f>
        <v>May-2024</v>
      </c>
    </row>
    <row r="250" spans="1:9" x14ac:dyDescent="0.3">
      <c r="A250" s="1">
        <v>45876</v>
      </c>
      <c r="B250" t="s">
        <v>8</v>
      </c>
      <c r="C250" t="s">
        <v>25</v>
      </c>
      <c r="D250" t="s">
        <v>16</v>
      </c>
      <c r="E250" t="s">
        <v>26</v>
      </c>
      <c r="F250">
        <v>4</v>
      </c>
      <c r="G250">
        <v>196.69</v>
      </c>
      <c r="H250">
        <v>786.76</v>
      </c>
      <c r="I250" t="str">
        <f>TEXT(SalesData[[#This Row],[Order Date]],"mmm-yyyy")</f>
        <v>Aug-2025</v>
      </c>
    </row>
    <row r="251" spans="1:9" x14ac:dyDescent="0.3">
      <c r="A251" s="1">
        <v>45882</v>
      </c>
      <c r="B251" t="s">
        <v>12</v>
      </c>
      <c r="C251" t="s">
        <v>24</v>
      </c>
      <c r="D251" t="s">
        <v>19</v>
      </c>
      <c r="E251" t="s">
        <v>27</v>
      </c>
      <c r="F251">
        <v>6</v>
      </c>
      <c r="G251">
        <v>267.64999999999998</v>
      </c>
      <c r="H251">
        <v>1605.9</v>
      </c>
      <c r="I251" t="str">
        <f>TEXT(SalesData[[#This Row],[Order Date]],"mmm-yyyy")</f>
        <v>Aug-2025</v>
      </c>
    </row>
    <row r="252" spans="1:9" x14ac:dyDescent="0.3">
      <c r="A252" s="1">
        <v>45776</v>
      </c>
      <c r="B252" t="s">
        <v>12</v>
      </c>
      <c r="C252" t="s">
        <v>15</v>
      </c>
      <c r="D252" t="s">
        <v>16</v>
      </c>
      <c r="E252" t="s">
        <v>11</v>
      </c>
      <c r="F252">
        <v>8</v>
      </c>
      <c r="G252">
        <v>383.56</v>
      </c>
      <c r="H252">
        <v>3068.48</v>
      </c>
      <c r="I252" t="str">
        <f>TEXT(SalesData[[#This Row],[Order Date]],"mmm-yyyy")</f>
        <v>Apr-2025</v>
      </c>
    </row>
    <row r="253" spans="1:9" x14ac:dyDescent="0.3">
      <c r="A253" s="1">
        <v>45540</v>
      </c>
      <c r="B253" t="s">
        <v>12</v>
      </c>
      <c r="C253" t="s">
        <v>25</v>
      </c>
      <c r="D253" t="s">
        <v>16</v>
      </c>
      <c r="E253" t="s">
        <v>28</v>
      </c>
      <c r="F253">
        <v>5</v>
      </c>
      <c r="G253">
        <v>175.86</v>
      </c>
      <c r="H253">
        <v>879.3</v>
      </c>
      <c r="I253" t="str">
        <f>TEXT(SalesData[[#This Row],[Order Date]],"mmm-yyyy")</f>
        <v>Sep-2024</v>
      </c>
    </row>
    <row r="254" spans="1:9" x14ac:dyDescent="0.3">
      <c r="A254" s="1">
        <v>45776</v>
      </c>
      <c r="B254" t="s">
        <v>14</v>
      </c>
      <c r="C254" t="s">
        <v>24</v>
      </c>
      <c r="D254" t="s">
        <v>19</v>
      </c>
      <c r="E254" t="s">
        <v>13</v>
      </c>
      <c r="F254">
        <v>6</v>
      </c>
      <c r="G254">
        <v>267.56</v>
      </c>
      <c r="H254">
        <v>1605.36</v>
      </c>
      <c r="I254" t="str">
        <f>TEXT(SalesData[[#This Row],[Order Date]],"mmm-yyyy")</f>
        <v>Apr-2025</v>
      </c>
    </row>
    <row r="255" spans="1:9" x14ac:dyDescent="0.3">
      <c r="A255" s="1">
        <v>45708</v>
      </c>
      <c r="B255" t="s">
        <v>12</v>
      </c>
      <c r="C255" t="s">
        <v>25</v>
      </c>
      <c r="D255" t="s">
        <v>16</v>
      </c>
      <c r="E255" t="s">
        <v>28</v>
      </c>
      <c r="F255">
        <v>3</v>
      </c>
      <c r="G255">
        <v>173.41</v>
      </c>
      <c r="H255">
        <v>520.23</v>
      </c>
      <c r="I255" t="str">
        <f>TEXT(SalesData[[#This Row],[Order Date]],"mmm-yyyy")</f>
        <v>Feb-2025</v>
      </c>
    </row>
    <row r="256" spans="1:9" x14ac:dyDescent="0.3">
      <c r="A256" s="1">
        <v>45486</v>
      </c>
      <c r="B256" t="s">
        <v>8</v>
      </c>
      <c r="C256" t="s">
        <v>25</v>
      </c>
      <c r="D256" t="s">
        <v>16</v>
      </c>
      <c r="E256" t="s">
        <v>17</v>
      </c>
      <c r="F256">
        <v>3</v>
      </c>
      <c r="G256">
        <v>168.1</v>
      </c>
      <c r="H256">
        <v>504.3</v>
      </c>
      <c r="I256" t="str">
        <f>TEXT(SalesData[[#This Row],[Order Date]],"mmm-yyyy")</f>
        <v>Jul-2024</v>
      </c>
    </row>
    <row r="257" spans="1:9" x14ac:dyDescent="0.3">
      <c r="A257" s="1">
        <v>45388</v>
      </c>
      <c r="B257" t="s">
        <v>12</v>
      </c>
      <c r="C257" t="s">
        <v>21</v>
      </c>
      <c r="D257" t="s">
        <v>10</v>
      </c>
      <c r="E257" t="s">
        <v>17</v>
      </c>
      <c r="F257">
        <v>3</v>
      </c>
      <c r="G257">
        <v>45.51</v>
      </c>
      <c r="H257">
        <v>136.53</v>
      </c>
      <c r="I257" t="str">
        <f>TEXT(SalesData[[#This Row],[Order Date]],"mmm-yyyy")</f>
        <v>Apr-2024</v>
      </c>
    </row>
    <row r="258" spans="1:9" x14ac:dyDescent="0.3">
      <c r="A258" s="1">
        <v>45391</v>
      </c>
      <c r="B258" t="s">
        <v>14</v>
      </c>
      <c r="C258" t="s">
        <v>18</v>
      </c>
      <c r="D258" t="s">
        <v>19</v>
      </c>
      <c r="E258" t="s">
        <v>27</v>
      </c>
      <c r="F258">
        <v>5</v>
      </c>
      <c r="G258">
        <v>978.51</v>
      </c>
      <c r="H258">
        <v>4892.55</v>
      </c>
      <c r="I258" t="str">
        <f>TEXT(SalesData[[#This Row],[Order Date]],"mmm-yyyy")</f>
        <v>Apr-2024</v>
      </c>
    </row>
    <row r="259" spans="1:9" x14ac:dyDescent="0.3">
      <c r="A259" s="1">
        <v>45966</v>
      </c>
      <c r="B259" t="s">
        <v>20</v>
      </c>
      <c r="C259" t="s">
        <v>9</v>
      </c>
      <c r="D259" t="s">
        <v>10</v>
      </c>
      <c r="E259" t="s">
        <v>23</v>
      </c>
      <c r="F259">
        <v>1</v>
      </c>
      <c r="G259">
        <v>31.18</v>
      </c>
      <c r="H259">
        <v>31.18</v>
      </c>
      <c r="I259" t="str">
        <f>TEXT(SalesData[[#This Row],[Order Date]],"mmm-yyyy")</f>
        <v>Nov-2025</v>
      </c>
    </row>
    <row r="260" spans="1:9" x14ac:dyDescent="0.3">
      <c r="A260" s="1">
        <v>45733</v>
      </c>
      <c r="B260" t="s">
        <v>20</v>
      </c>
      <c r="C260" t="s">
        <v>15</v>
      </c>
      <c r="D260" t="s">
        <v>16</v>
      </c>
      <c r="E260" t="s">
        <v>27</v>
      </c>
      <c r="F260">
        <v>8</v>
      </c>
      <c r="G260">
        <v>405.6</v>
      </c>
      <c r="H260">
        <v>3244.8</v>
      </c>
      <c r="I260" t="str">
        <f>TEXT(SalesData[[#This Row],[Order Date]],"mmm-yyyy")</f>
        <v>Mar-2025</v>
      </c>
    </row>
    <row r="261" spans="1:9" x14ac:dyDescent="0.3">
      <c r="A261" s="1">
        <v>45654</v>
      </c>
      <c r="B261" t="s">
        <v>20</v>
      </c>
      <c r="C261" t="s">
        <v>9</v>
      </c>
      <c r="D261" t="s">
        <v>10</v>
      </c>
      <c r="E261" t="s">
        <v>27</v>
      </c>
      <c r="F261">
        <v>5</v>
      </c>
      <c r="G261">
        <v>27.58</v>
      </c>
      <c r="H261">
        <v>137.9</v>
      </c>
      <c r="I261" t="str">
        <f>TEXT(SalesData[[#This Row],[Order Date]],"mmm-yyyy")</f>
        <v>Dec-2024</v>
      </c>
    </row>
    <row r="262" spans="1:9" x14ac:dyDescent="0.3">
      <c r="A262" s="1">
        <v>45725</v>
      </c>
      <c r="B262" t="s">
        <v>12</v>
      </c>
      <c r="C262" t="s">
        <v>25</v>
      </c>
      <c r="D262" t="s">
        <v>16</v>
      </c>
      <c r="E262" t="s">
        <v>28</v>
      </c>
      <c r="F262">
        <v>5</v>
      </c>
      <c r="G262">
        <v>184.14</v>
      </c>
      <c r="H262">
        <v>920.7</v>
      </c>
      <c r="I262" t="str">
        <f>TEXT(SalesData[[#This Row],[Order Date]],"mmm-yyyy")</f>
        <v>Mar-2025</v>
      </c>
    </row>
    <row r="263" spans="1:9" x14ac:dyDescent="0.3">
      <c r="A263" s="1">
        <v>45712</v>
      </c>
      <c r="B263" t="s">
        <v>8</v>
      </c>
      <c r="C263" t="s">
        <v>15</v>
      </c>
      <c r="D263" t="s">
        <v>16</v>
      </c>
      <c r="E263" t="s">
        <v>11</v>
      </c>
      <c r="F263">
        <v>7</v>
      </c>
      <c r="G263">
        <v>439.2</v>
      </c>
      <c r="H263">
        <v>3074.4</v>
      </c>
      <c r="I263" t="str">
        <f>TEXT(SalesData[[#This Row],[Order Date]],"mmm-yyyy")</f>
        <v>Feb-2025</v>
      </c>
    </row>
    <row r="264" spans="1:9" x14ac:dyDescent="0.3">
      <c r="A264" s="1">
        <v>45770</v>
      </c>
      <c r="B264" t="s">
        <v>8</v>
      </c>
      <c r="C264" t="s">
        <v>25</v>
      </c>
      <c r="D264" t="s">
        <v>16</v>
      </c>
      <c r="E264" t="s">
        <v>17</v>
      </c>
      <c r="F264">
        <v>3</v>
      </c>
      <c r="G264">
        <v>167.04</v>
      </c>
      <c r="H264">
        <v>501.12</v>
      </c>
      <c r="I264" t="str">
        <f>TEXT(SalesData[[#This Row],[Order Date]],"mmm-yyyy")</f>
        <v>Apr-2025</v>
      </c>
    </row>
    <row r="265" spans="1:9" x14ac:dyDescent="0.3">
      <c r="A265" s="1">
        <v>45347</v>
      </c>
      <c r="B265" t="s">
        <v>12</v>
      </c>
      <c r="C265" t="s">
        <v>25</v>
      </c>
      <c r="D265" t="s">
        <v>16</v>
      </c>
      <c r="E265" t="s">
        <v>11</v>
      </c>
      <c r="F265">
        <v>5</v>
      </c>
      <c r="G265">
        <v>180.66</v>
      </c>
      <c r="H265">
        <v>903.3</v>
      </c>
      <c r="I265" t="str">
        <f>TEXT(SalesData[[#This Row],[Order Date]],"mmm-yyyy")</f>
        <v>Feb-2024</v>
      </c>
    </row>
    <row r="266" spans="1:9" x14ac:dyDescent="0.3">
      <c r="A266" s="1">
        <v>45981</v>
      </c>
      <c r="B266" t="s">
        <v>14</v>
      </c>
      <c r="C266" t="s">
        <v>24</v>
      </c>
      <c r="D266" t="s">
        <v>19</v>
      </c>
      <c r="E266" t="s">
        <v>23</v>
      </c>
      <c r="F266">
        <v>7</v>
      </c>
      <c r="G266">
        <v>268.87</v>
      </c>
      <c r="H266">
        <v>1882.09</v>
      </c>
      <c r="I266" t="str">
        <f>TEXT(SalesData[[#This Row],[Order Date]],"mmm-yyyy")</f>
        <v>Nov-2025</v>
      </c>
    </row>
    <row r="267" spans="1:9" x14ac:dyDescent="0.3">
      <c r="A267" s="1">
        <v>45961</v>
      </c>
      <c r="B267" t="s">
        <v>12</v>
      </c>
      <c r="C267" t="s">
        <v>25</v>
      </c>
      <c r="D267" t="s">
        <v>16</v>
      </c>
      <c r="E267" t="s">
        <v>28</v>
      </c>
      <c r="F267">
        <v>2</v>
      </c>
      <c r="G267">
        <v>188.67</v>
      </c>
      <c r="H267">
        <v>377.34</v>
      </c>
      <c r="I267" t="str">
        <f>TEXT(SalesData[[#This Row],[Order Date]],"mmm-yyyy")</f>
        <v>Oct-2025</v>
      </c>
    </row>
    <row r="268" spans="1:9" x14ac:dyDescent="0.3">
      <c r="A268" s="1">
        <v>45953</v>
      </c>
      <c r="B268" t="s">
        <v>8</v>
      </c>
      <c r="C268" t="s">
        <v>29</v>
      </c>
      <c r="D268" t="s">
        <v>30</v>
      </c>
      <c r="E268" t="s">
        <v>11</v>
      </c>
      <c r="F268">
        <v>5</v>
      </c>
      <c r="G268">
        <v>332.61</v>
      </c>
      <c r="H268">
        <v>1663.05</v>
      </c>
      <c r="I268" t="str">
        <f>TEXT(SalesData[[#This Row],[Order Date]],"mmm-yyyy")</f>
        <v>Oct-2025</v>
      </c>
    </row>
    <row r="269" spans="1:9" x14ac:dyDescent="0.3">
      <c r="A269" s="1">
        <v>45392</v>
      </c>
      <c r="B269" t="s">
        <v>20</v>
      </c>
      <c r="C269" t="s">
        <v>21</v>
      </c>
      <c r="D269" t="s">
        <v>10</v>
      </c>
      <c r="E269" t="s">
        <v>17</v>
      </c>
      <c r="F269">
        <v>8</v>
      </c>
      <c r="G269">
        <v>46.82</v>
      </c>
      <c r="H269">
        <v>374.56</v>
      </c>
      <c r="I269" t="str">
        <f>TEXT(SalesData[[#This Row],[Order Date]],"mmm-yyyy")</f>
        <v>Apr-2024</v>
      </c>
    </row>
    <row r="270" spans="1:9" x14ac:dyDescent="0.3">
      <c r="A270" s="1">
        <v>45354</v>
      </c>
      <c r="B270" t="s">
        <v>8</v>
      </c>
      <c r="C270" t="s">
        <v>18</v>
      </c>
      <c r="D270" t="s">
        <v>19</v>
      </c>
      <c r="E270" t="s">
        <v>23</v>
      </c>
      <c r="F270">
        <v>6</v>
      </c>
      <c r="G270">
        <v>874.71</v>
      </c>
      <c r="H270">
        <v>5248.26</v>
      </c>
      <c r="I270" t="str">
        <f>TEXT(SalesData[[#This Row],[Order Date]],"mmm-yyyy")</f>
        <v>Mar-2024</v>
      </c>
    </row>
    <row r="271" spans="1:9" x14ac:dyDescent="0.3">
      <c r="A271" s="1">
        <v>45704</v>
      </c>
      <c r="B271" t="s">
        <v>8</v>
      </c>
      <c r="C271" t="s">
        <v>18</v>
      </c>
      <c r="D271" t="s">
        <v>19</v>
      </c>
      <c r="E271" t="s">
        <v>28</v>
      </c>
      <c r="F271">
        <v>2</v>
      </c>
      <c r="G271">
        <v>862.85</v>
      </c>
      <c r="H271">
        <v>1725.7</v>
      </c>
      <c r="I271" t="str">
        <f>TEXT(SalesData[[#This Row],[Order Date]],"mmm-yyyy")</f>
        <v>Feb-2025</v>
      </c>
    </row>
    <row r="272" spans="1:9" x14ac:dyDescent="0.3">
      <c r="A272" s="1">
        <v>45639</v>
      </c>
      <c r="B272" t="s">
        <v>14</v>
      </c>
      <c r="C272" t="s">
        <v>21</v>
      </c>
      <c r="D272" t="s">
        <v>10</v>
      </c>
      <c r="E272" t="s">
        <v>17</v>
      </c>
      <c r="F272">
        <v>1</v>
      </c>
      <c r="G272">
        <v>47.78</v>
      </c>
      <c r="H272">
        <v>47.78</v>
      </c>
      <c r="I272" t="str">
        <f>TEXT(SalesData[[#This Row],[Order Date]],"mmm-yyyy")</f>
        <v>Dec-2024</v>
      </c>
    </row>
    <row r="273" spans="1:9" x14ac:dyDescent="0.3">
      <c r="A273" s="1">
        <v>45403</v>
      </c>
      <c r="B273" t="s">
        <v>12</v>
      </c>
      <c r="C273" t="s">
        <v>18</v>
      </c>
      <c r="D273" t="s">
        <v>19</v>
      </c>
      <c r="E273" t="s">
        <v>31</v>
      </c>
      <c r="F273">
        <v>3</v>
      </c>
      <c r="G273">
        <v>955.82</v>
      </c>
      <c r="H273">
        <v>2867.46</v>
      </c>
      <c r="I273" t="str">
        <f>TEXT(SalesData[[#This Row],[Order Date]],"mmm-yyyy")</f>
        <v>Apr-2024</v>
      </c>
    </row>
    <row r="274" spans="1:9" x14ac:dyDescent="0.3">
      <c r="A274" s="1">
        <v>45546</v>
      </c>
      <c r="B274" t="s">
        <v>8</v>
      </c>
      <c r="C274" t="s">
        <v>25</v>
      </c>
      <c r="D274" t="s">
        <v>16</v>
      </c>
      <c r="E274" t="s">
        <v>27</v>
      </c>
      <c r="F274">
        <v>6</v>
      </c>
      <c r="G274">
        <v>193.21</v>
      </c>
      <c r="H274">
        <v>1159.26</v>
      </c>
      <c r="I274" t="str">
        <f>TEXT(SalesData[[#This Row],[Order Date]],"mmm-yyyy")</f>
        <v>Sep-2024</v>
      </c>
    </row>
    <row r="275" spans="1:9" x14ac:dyDescent="0.3">
      <c r="A275" s="1">
        <v>45488</v>
      </c>
      <c r="B275" t="s">
        <v>20</v>
      </c>
      <c r="C275" t="s">
        <v>21</v>
      </c>
      <c r="D275" t="s">
        <v>10</v>
      </c>
      <c r="E275" t="s">
        <v>28</v>
      </c>
      <c r="F275">
        <v>8</v>
      </c>
      <c r="G275">
        <v>48.72</v>
      </c>
      <c r="H275">
        <v>389.76</v>
      </c>
      <c r="I275" t="str">
        <f>TEXT(SalesData[[#This Row],[Order Date]],"mmm-yyyy")</f>
        <v>Jul-2024</v>
      </c>
    </row>
    <row r="276" spans="1:9" x14ac:dyDescent="0.3">
      <c r="A276" s="1">
        <v>45486</v>
      </c>
      <c r="B276" t="s">
        <v>14</v>
      </c>
      <c r="C276" t="s">
        <v>22</v>
      </c>
      <c r="D276" t="s">
        <v>10</v>
      </c>
      <c r="E276" t="s">
        <v>28</v>
      </c>
      <c r="F276">
        <v>2</v>
      </c>
      <c r="G276">
        <v>70.16</v>
      </c>
      <c r="H276">
        <v>140.32</v>
      </c>
      <c r="I276" t="str">
        <f>TEXT(SalesData[[#This Row],[Order Date]],"mmm-yyyy")</f>
        <v>Jul-2024</v>
      </c>
    </row>
    <row r="277" spans="1:9" x14ac:dyDescent="0.3">
      <c r="A277" s="1">
        <v>45841</v>
      </c>
      <c r="B277" t="s">
        <v>20</v>
      </c>
      <c r="C277" t="s">
        <v>15</v>
      </c>
      <c r="D277" t="s">
        <v>16</v>
      </c>
      <c r="E277" t="s">
        <v>31</v>
      </c>
      <c r="F277">
        <v>6</v>
      </c>
      <c r="G277">
        <v>400.12</v>
      </c>
      <c r="H277">
        <v>2400.7199999999998</v>
      </c>
      <c r="I277" t="str">
        <f>TEXT(SalesData[[#This Row],[Order Date]],"mmm-yyyy")</f>
        <v>Jul-2025</v>
      </c>
    </row>
    <row r="278" spans="1:9" x14ac:dyDescent="0.3">
      <c r="A278" s="1">
        <v>45751</v>
      </c>
      <c r="B278" t="s">
        <v>14</v>
      </c>
      <c r="C278" t="s">
        <v>24</v>
      </c>
      <c r="D278" t="s">
        <v>19</v>
      </c>
      <c r="E278" t="s">
        <v>17</v>
      </c>
      <c r="F278">
        <v>1</v>
      </c>
      <c r="G278">
        <v>264.91000000000003</v>
      </c>
      <c r="H278">
        <v>264.91000000000003</v>
      </c>
      <c r="I278" t="str">
        <f>TEXT(SalesData[[#This Row],[Order Date]],"mmm-yyyy")</f>
        <v>Apr-2025</v>
      </c>
    </row>
    <row r="279" spans="1:9" x14ac:dyDescent="0.3">
      <c r="A279" s="1">
        <v>45435</v>
      </c>
      <c r="B279" t="s">
        <v>20</v>
      </c>
      <c r="C279" t="s">
        <v>15</v>
      </c>
      <c r="D279" t="s">
        <v>16</v>
      </c>
      <c r="E279" t="s">
        <v>23</v>
      </c>
      <c r="F279">
        <v>2</v>
      </c>
      <c r="G279">
        <v>412</v>
      </c>
      <c r="H279">
        <v>824</v>
      </c>
      <c r="I279" t="str">
        <f>TEXT(SalesData[[#This Row],[Order Date]],"mmm-yyyy")</f>
        <v>May-2024</v>
      </c>
    </row>
    <row r="280" spans="1:9" x14ac:dyDescent="0.3">
      <c r="A280" s="1">
        <v>45724</v>
      </c>
      <c r="B280" t="s">
        <v>20</v>
      </c>
      <c r="C280" t="s">
        <v>22</v>
      </c>
      <c r="D280" t="s">
        <v>10</v>
      </c>
      <c r="E280" t="s">
        <v>17</v>
      </c>
      <c r="F280">
        <v>4</v>
      </c>
      <c r="G280">
        <v>72.83</v>
      </c>
      <c r="H280">
        <v>291.32</v>
      </c>
      <c r="I280" t="str">
        <f>TEXT(SalesData[[#This Row],[Order Date]],"mmm-yyyy")</f>
        <v>Mar-2025</v>
      </c>
    </row>
    <row r="281" spans="1:9" x14ac:dyDescent="0.3">
      <c r="A281" s="1">
        <v>45479</v>
      </c>
      <c r="B281" t="s">
        <v>14</v>
      </c>
      <c r="C281" t="s">
        <v>9</v>
      </c>
      <c r="D281" t="s">
        <v>10</v>
      </c>
      <c r="E281" t="s">
        <v>13</v>
      </c>
      <c r="F281">
        <v>2</v>
      </c>
      <c r="G281">
        <v>31.77</v>
      </c>
      <c r="H281">
        <v>63.54</v>
      </c>
      <c r="I281" t="str">
        <f>TEXT(SalesData[[#This Row],[Order Date]],"mmm-yyyy")</f>
        <v>Jul-2024</v>
      </c>
    </row>
    <row r="282" spans="1:9" x14ac:dyDescent="0.3">
      <c r="A282" s="1">
        <v>45577</v>
      </c>
      <c r="B282" t="s">
        <v>8</v>
      </c>
      <c r="C282" t="s">
        <v>22</v>
      </c>
      <c r="D282" t="s">
        <v>10</v>
      </c>
      <c r="E282" t="s">
        <v>13</v>
      </c>
      <c r="F282">
        <v>3</v>
      </c>
      <c r="G282">
        <v>75.459999999999994</v>
      </c>
      <c r="H282">
        <v>226.38</v>
      </c>
      <c r="I282" t="str">
        <f>TEXT(SalesData[[#This Row],[Order Date]],"mmm-yyyy")</f>
        <v>Oct-2024</v>
      </c>
    </row>
    <row r="283" spans="1:9" x14ac:dyDescent="0.3">
      <c r="A283" s="1">
        <v>45765</v>
      </c>
      <c r="B283" t="s">
        <v>12</v>
      </c>
      <c r="C283" t="s">
        <v>25</v>
      </c>
      <c r="D283" t="s">
        <v>16</v>
      </c>
      <c r="E283" t="s">
        <v>23</v>
      </c>
      <c r="F283">
        <v>6</v>
      </c>
      <c r="G283">
        <v>174.17</v>
      </c>
      <c r="H283">
        <v>1045.02</v>
      </c>
      <c r="I283" t="str">
        <f>TEXT(SalesData[[#This Row],[Order Date]],"mmm-yyyy")</f>
        <v>Apr-2025</v>
      </c>
    </row>
    <row r="284" spans="1:9" x14ac:dyDescent="0.3">
      <c r="A284" s="1">
        <v>45547</v>
      </c>
      <c r="B284" t="s">
        <v>14</v>
      </c>
      <c r="C284" t="s">
        <v>29</v>
      </c>
      <c r="D284" t="s">
        <v>30</v>
      </c>
      <c r="E284" t="s">
        <v>28</v>
      </c>
      <c r="F284">
        <v>3</v>
      </c>
      <c r="G284">
        <v>312.04000000000002</v>
      </c>
      <c r="H284">
        <v>936.12</v>
      </c>
      <c r="I284" t="str">
        <f>TEXT(SalesData[[#This Row],[Order Date]],"mmm-yyyy")</f>
        <v>Sep-2024</v>
      </c>
    </row>
    <row r="285" spans="1:9" x14ac:dyDescent="0.3">
      <c r="A285" s="1">
        <v>45369</v>
      </c>
      <c r="B285" t="s">
        <v>14</v>
      </c>
      <c r="C285" t="s">
        <v>9</v>
      </c>
      <c r="D285" t="s">
        <v>10</v>
      </c>
      <c r="E285" t="s">
        <v>26</v>
      </c>
      <c r="F285">
        <v>2</v>
      </c>
      <c r="G285">
        <v>27.56</v>
      </c>
      <c r="H285">
        <v>55.12</v>
      </c>
      <c r="I285" t="str">
        <f>TEXT(SalesData[[#This Row],[Order Date]],"mmm-yyyy")</f>
        <v>Mar-2024</v>
      </c>
    </row>
    <row r="286" spans="1:9" x14ac:dyDescent="0.3">
      <c r="A286" s="1">
        <v>45745</v>
      </c>
      <c r="B286" t="s">
        <v>12</v>
      </c>
      <c r="C286" t="s">
        <v>9</v>
      </c>
      <c r="D286" t="s">
        <v>10</v>
      </c>
      <c r="E286" t="s">
        <v>28</v>
      </c>
      <c r="F286">
        <v>8</v>
      </c>
      <c r="G286">
        <v>30.47</v>
      </c>
      <c r="H286">
        <v>243.76</v>
      </c>
      <c r="I286" t="str">
        <f>TEXT(SalesData[[#This Row],[Order Date]],"mmm-yyyy")</f>
        <v>Mar-2025</v>
      </c>
    </row>
    <row r="287" spans="1:9" x14ac:dyDescent="0.3">
      <c r="A287" s="1">
        <v>45855</v>
      </c>
      <c r="B287" t="s">
        <v>14</v>
      </c>
      <c r="C287" t="s">
        <v>25</v>
      </c>
      <c r="D287" t="s">
        <v>16</v>
      </c>
      <c r="E287" t="s">
        <v>13</v>
      </c>
      <c r="F287">
        <v>8</v>
      </c>
      <c r="G287">
        <v>163.29</v>
      </c>
      <c r="H287">
        <v>1306.32</v>
      </c>
      <c r="I287" t="str">
        <f>TEXT(SalesData[[#This Row],[Order Date]],"mmm-yyyy")</f>
        <v>Jul-2025</v>
      </c>
    </row>
    <row r="288" spans="1:9" x14ac:dyDescent="0.3">
      <c r="A288" s="1">
        <v>45392</v>
      </c>
      <c r="B288" t="s">
        <v>8</v>
      </c>
      <c r="C288" t="s">
        <v>24</v>
      </c>
      <c r="D288" t="s">
        <v>19</v>
      </c>
      <c r="E288" t="s">
        <v>17</v>
      </c>
      <c r="F288">
        <v>5</v>
      </c>
      <c r="G288">
        <v>248.28</v>
      </c>
      <c r="H288">
        <v>1241.4000000000001</v>
      </c>
      <c r="I288" t="str">
        <f>TEXT(SalesData[[#This Row],[Order Date]],"mmm-yyyy")</f>
        <v>Apr-2024</v>
      </c>
    </row>
    <row r="289" spans="1:9" x14ac:dyDescent="0.3">
      <c r="A289" s="1">
        <v>45343</v>
      </c>
      <c r="B289" t="s">
        <v>12</v>
      </c>
      <c r="C289" t="s">
        <v>15</v>
      </c>
      <c r="D289" t="s">
        <v>16</v>
      </c>
      <c r="E289" t="s">
        <v>26</v>
      </c>
      <c r="F289">
        <v>7</v>
      </c>
      <c r="G289">
        <v>403.41</v>
      </c>
      <c r="H289">
        <v>2823.87</v>
      </c>
      <c r="I289" t="str">
        <f>TEXT(SalesData[[#This Row],[Order Date]],"mmm-yyyy")</f>
        <v>Feb-2024</v>
      </c>
    </row>
    <row r="290" spans="1:9" x14ac:dyDescent="0.3">
      <c r="A290" s="1">
        <v>45959</v>
      </c>
      <c r="B290" t="s">
        <v>8</v>
      </c>
      <c r="C290" t="s">
        <v>25</v>
      </c>
      <c r="D290" t="s">
        <v>16</v>
      </c>
      <c r="E290" t="s">
        <v>17</v>
      </c>
      <c r="F290">
        <v>2</v>
      </c>
      <c r="G290">
        <v>172.32</v>
      </c>
      <c r="H290">
        <v>344.64</v>
      </c>
      <c r="I290" t="str">
        <f>TEXT(SalesData[[#This Row],[Order Date]],"mmm-yyyy")</f>
        <v>Oct-2025</v>
      </c>
    </row>
    <row r="291" spans="1:9" x14ac:dyDescent="0.3">
      <c r="A291" s="1">
        <v>45845</v>
      </c>
      <c r="B291" t="s">
        <v>14</v>
      </c>
      <c r="C291" t="s">
        <v>25</v>
      </c>
      <c r="D291" t="s">
        <v>16</v>
      </c>
      <c r="E291" t="s">
        <v>26</v>
      </c>
      <c r="F291">
        <v>3</v>
      </c>
      <c r="G291">
        <v>183.27</v>
      </c>
      <c r="H291">
        <v>549.80999999999995</v>
      </c>
      <c r="I291" t="str">
        <f>TEXT(SalesData[[#This Row],[Order Date]],"mmm-yyyy")</f>
        <v>Jul-2025</v>
      </c>
    </row>
    <row r="292" spans="1:9" x14ac:dyDescent="0.3">
      <c r="A292" s="1">
        <v>45307</v>
      </c>
      <c r="B292" t="s">
        <v>12</v>
      </c>
      <c r="C292" t="s">
        <v>15</v>
      </c>
      <c r="D292" t="s">
        <v>16</v>
      </c>
      <c r="E292" t="s">
        <v>26</v>
      </c>
      <c r="F292">
        <v>1</v>
      </c>
      <c r="G292">
        <v>362.44</v>
      </c>
      <c r="H292">
        <v>362.44</v>
      </c>
      <c r="I292" t="str">
        <f>TEXT(SalesData[[#This Row],[Order Date]],"mmm-yyyy")</f>
        <v>Jan-2024</v>
      </c>
    </row>
    <row r="293" spans="1:9" x14ac:dyDescent="0.3">
      <c r="A293" s="1">
        <v>45387</v>
      </c>
      <c r="B293" t="s">
        <v>14</v>
      </c>
      <c r="C293" t="s">
        <v>29</v>
      </c>
      <c r="D293" t="s">
        <v>30</v>
      </c>
      <c r="E293" t="s">
        <v>28</v>
      </c>
      <c r="F293">
        <v>3</v>
      </c>
      <c r="G293">
        <v>290.39</v>
      </c>
      <c r="H293">
        <v>871.17</v>
      </c>
      <c r="I293" t="str">
        <f>TEXT(SalesData[[#This Row],[Order Date]],"mmm-yyyy")</f>
        <v>Apr-2024</v>
      </c>
    </row>
    <row r="294" spans="1:9" x14ac:dyDescent="0.3">
      <c r="A294" s="1">
        <v>45534</v>
      </c>
      <c r="B294" t="s">
        <v>20</v>
      </c>
      <c r="C294" t="s">
        <v>9</v>
      </c>
      <c r="D294" t="s">
        <v>10</v>
      </c>
      <c r="E294" t="s">
        <v>13</v>
      </c>
      <c r="F294">
        <v>6</v>
      </c>
      <c r="G294">
        <v>31.94</v>
      </c>
      <c r="H294">
        <v>191.64</v>
      </c>
      <c r="I294" t="str">
        <f>TEXT(SalesData[[#This Row],[Order Date]],"mmm-yyyy")</f>
        <v>Aug-2024</v>
      </c>
    </row>
    <row r="295" spans="1:9" x14ac:dyDescent="0.3">
      <c r="A295" s="1">
        <v>45462</v>
      </c>
      <c r="B295" t="s">
        <v>20</v>
      </c>
      <c r="C295" t="s">
        <v>29</v>
      </c>
      <c r="D295" t="s">
        <v>30</v>
      </c>
      <c r="E295" t="s">
        <v>26</v>
      </c>
      <c r="F295">
        <v>4</v>
      </c>
      <c r="G295">
        <v>311.05</v>
      </c>
      <c r="H295">
        <v>1244.2</v>
      </c>
      <c r="I295" t="str">
        <f>TEXT(SalesData[[#This Row],[Order Date]],"mmm-yyyy")</f>
        <v>Jun-2024</v>
      </c>
    </row>
    <row r="296" spans="1:9" x14ac:dyDescent="0.3">
      <c r="A296" s="1">
        <v>45708</v>
      </c>
      <c r="B296" t="s">
        <v>14</v>
      </c>
      <c r="C296" t="s">
        <v>29</v>
      </c>
      <c r="D296" t="s">
        <v>30</v>
      </c>
      <c r="E296" t="s">
        <v>26</v>
      </c>
      <c r="F296">
        <v>2</v>
      </c>
      <c r="G296">
        <v>296.13</v>
      </c>
      <c r="H296">
        <v>592.26</v>
      </c>
      <c r="I296" t="str">
        <f>TEXT(SalesData[[#This Row],[Order Date]],"mmm-yyyy")</f>
        <v>Feb-2025</v>
      </c>
    </row>
    <row r="297" spans="1:9" x14ac:dyDescent="0.3">
      <c r="A297" s="1">
        <v>45789</v>
      </c>
      <c r="B297" t="s">
        <v>12</v>
      </c>
      <c r="C297" t="s">
        <v>21</v>
      </c>
      <c r="D297" t="s">
        <v>10</v>
      </c>
      <c r="E297" t="s">
        <v>27</v>
      </c>
      <c r="F297">
        <v>6</v>
      </c>
      <c r="G297">
        <v>45.2</v>
      </c>
      <c r="H297">
        <v>271.2</v>
      </c>
      <c r="I297" t="str">
        <f>TEXT(SalesData[[#This Row],[Order Date]],"mmm-yyyy")</f>
        <v>May-2025</v>
      </c>
    </row>
    <row r="298" spans="1:9" x14ac:dyDescent="0.3">
      <c r="A298" s="1">
        <v>45784</v>
      </c>
      <c r="B298" t="s">
        <v>20</v>
      </c>
      <c r="C298" t="s">
        <v>24</v>
      </c>
      <c r="D298" t="s">
        <v>19</v>
      </c>
      <c r="E298" t="s">
        <v>31</v>
      </c>
      <c r="F298">
        <v>1</v>
      </c>
      <c r="G298">
        <v>263.5</v>
      </c>
      <c r="H298">
        <v>263.5</v>
      </c>
      <c r="I298" t="str">
        <f>TEXT(SalesData[[#This Row],[Order Date]],"mmm-yyyy")</f>
        <v>May-2025</v>
      </c>
    </row>
    <row r="299" spans="1:9" x14ac:dyDescent="0.3">
      <c r="A299" s="1">
        <v>45510</v>
      </c>
      <c r="B299" t="s">
        <v>8</v>
      </c>
      <c r="C299" t="s">
        <v>15</v>
      </c>
      <c r="D299" t="s">
        <v>16</v>
      </c>
      <c r="E299" t="s">
        <v>23</v>
      </c>
      <c r="F299">
        <v>1</v>
      </c>
      <c r="G299">
        <v>377.27</v>
      </c>
      <c r="H299">
        <v>377.27</v>
      </c>
      <c r="I299" t="str">
        <f>TEXT(SalesData[[#This Row],[Order Date]],"mmm-yyyy")</f>
        <v>Aug-2024</v>
      </c>
    </row>
    <row r="300" spans="1:9" x14ac:dyDescent="0.3">
      <c r="A300" s="1">
        <v>45702</v>
      </c>
      <c r="B300" t="s">
        <v>14</v>
      </c>
      <c r="C300" t="s">
        <v>29</v>
      </c>
      <c r="D300" t="s">
        <v>30</v>
      </c>
      <c r="E300" t="s">
        <v>11</v>
      </c>
      <c r="F300">
        <v>8</v>
      </c>
      <c r="G300">
        <v>327.86</v>
      </c>
      <c r="H300">
        <v>2622.88</v>
      </c>
      <c r="I300" t="str">
        <f>TEXT(SalesData[[#This Row],[Order Date]],"mmm-yyyy")</f>
        <v>Feb-2025</v>
      </c>
    </row>
    <row r="301" spans="1:9" x14ac:dyDescent="0.3">
      <c r="A301" s="1">
        <v>45352</v>
      </c>
      <c r="B301" t="s">
        <v>12</v>
      </c>
      <c r="C301" t="s">
        <v>29</v>
      </c>
      <c r="D301" t="s">
        <v>30</v>
      </c>
      <c r="E301" t="s">
        <v>27</v>
      </c>
      <c r="F301">
        <v>8</v>
      </c>
      <c r="G301">
        <v>293.45999999999998</v>
      </c>
      <c r="H301">
        <v>2347.6799999999998</v>
      </c>
      <c r="I301" t="str">
        <f>TEXT(SalesData[[#This Row],[Order Date]],"mmm-yyyy")</f>
        <v>Mar-2024</v>
      </c>
    </row>
    <row r="302" spans="1:9" x14ac:dyDescent="0.3">
      <c r="A302" s="1">
        <v>45460</v>
      </c>
      <c r="B302" t="s">
        <v>8</v>
      </c>
      <c r="C302" t="s">
        <v>21</v>
      </c>
      <c r="D302" t="s">
        <v>10</v>
      </c>
      <c r="E302" t="s">
        <v>17</v>
      </c>
      <c r="F302">
        <v>8</v>
      </c>
      <c r="G302">
        <v>40.97</v>
      </c>
      <c r="H302">
        <v>327.76</v>
      </c>
      <c r="I302" t="str">
        <f>TEXT(SalesData[[#This Row],[Order Date]],"mmm-yyyy")</f>
        <v>Jun-2024</v>
      </c>
    </row>
    <row r="303" spans="1:9" x14ac:dyDescent="0.3">
      <c r="A303" s="1">
        <v>45680</v>
      </c>
      <c r="B303" t="s">
        <v>20</v>
      </c>
      <c r="C303" t="s">
        <v>22</v>
      </c>
      <c r="D303" t="s">
        <v>10</v>
      </c>
      <c r="E303" t="s">
        <v>26</v>
      </c>
      <c r="F303">
        <v>4</v>
      </c>
      <c r="G303">
        <v>70.44</v>
      </c>
      <c r="H303">
        <v>281.76</v>
      </c>
      <c r="I303" t="str">
        <f>TEXT(SalesData[[#This Row],[Order Date]],"mmm-yyyy")</f>
        <v>Jan-2025</v>
      </c>
    </row>
    <row r="304" spans="1:9" x14ac:dyDescent="0.3">
      <c r="A304" s="1">
        <v>45294</v>
      </c>
      <c r="B304" t="s">
        <v>20</v>
      </c>
      <c r="C304" t="s">
        <v>25</v>
      </c>
      <c r="D304" t="s">
        <v>16</v>
      </c>
      <c r="E304" t="s">
        <v>11</v>
      </c>
      <c r="F304">
        <v>6</v>
      </c>
      <c r="G304">
        <v>181.46</v>
      </c>
      <c r="H304">
        <v>1088.76</v>
      </c>
      <c r="I304" t="str">
        <f>TEXT(SalesData[[#This Row],[Order Date]],"mmm-yyyy")</f>
        <v>Jan-2024</v>
      </c>
    </row>
    <row r="305" spans="1:9" x14ac:dyDescent="0.3">
      <c r="A305" s="1">
        <v>45691</v>
      </c>
      <c r="B305" t="s">
        <v>12</v>
      </c>
      <c r="C305" t="s">
        <v>21</v>
      </c>
      <c r="D305" t="s">
        <v>10</v>
      </c>
      <c r="E305" t="s">
        <v>28</v>
      </c>
      <c r="F305">
        <v>6</v>
      </c>
      <c r="G305">
        <v>46.24</v>
      </c>
      <c r="H305">
        <v>277.44</v>
      </c>
      <c r="I305" t="str">
        <f>TEXT(SalesData[[#This Row],[Order Date]],"mmm-yyyy")</f>
        <v>Feb-2025</v>
      </c>
    </row>
    <row r="306" spans="1:9" x14ac:dyDescent="0.3">
      <c r="A306" s="1">
        <v>45563</v>
      </c>
      <c r="B306" t="s">
        <v>12</v>
      </c>
      <c r="C306" t="s">
        <v>9</v>
      </c>
      <c r="D306" t="s">
        <v>10</v>
      </c>
      <c r="E306" t="s">
        <v>23</v>
      </c>
      <c r="F306">
        <v>8</v>
      </c>
      <c r="G306">
        <v>31.36</v>
      </c>
      <c r="H306">
        <v>250.88</v>
      </c>
      <c r="I306" t="str">
        <f>TEXT(SalesData[[#This Row],[Order Date]],"mmm-yyyy")</f>
        <v>Sep-2024</v>
      </c>
    </row>
    <row r="307" spans="1:9" x14ac:dyDescent="0.3">
      <c r="A307" s="1">
        <v>45757</v>
      </c>
      <c r="B307" t="s">
        <v>14</v>
      </c>
      <c r="C307" t="s">
        <v>22</v>
      </c>
      <c r="D307" t="s">
        <v>10</v>
      </c>
      <c r="E307" t="s">
        <v>13</v>
      </c>
      <c r="F307">
        <v>4</v>
      </c>
      <c r="G307">
        <v>76.66</v>
      </c>
      <c r="H307">
        <v>306.64</v>
      </c>
      <c r="I307" t="str">
        <f>TEXT(SalesData[[#This Row],[Order Date]],"mmm-yyyy")</f>
        <v>Apr-2025</v>
      </c>
    </row>
    <row r="308" spans="1:9" x14ac:dyDescent="0.3">
      <c r="A308" s="1">
        <v>45584</v>
      </c>
      <c r="B308" t="s">
        <v>8</v>
      </c>
      <c r="C308" t="s">
        <v>18</v>
      </c>
      <c r="D308" t="s">
        <v>19</v>
      </c>
      <c r="E308" t="s">
        <v>11</v>
      </c>
      <c r="F308">
        <v>5</v>
      </c>
      <c r="G308">
        <v>902.93</v>
      </c>
      <c r="H308">
        <v>4514.6499999999996</v>
      </c>
      <c r="I308" t="str">
        <f>TEXT(SalesData[[#This Row],[Order Date]],"mmm-yyyy")</f>
        <v>Oct-2024</v>
      </c>
    </row>
    <row r="309" spans="1:9" x14ac:dyDescent="0.3">
      <c r="A309" s="1">
        <v>45725</v>
      </c>
      <c r="B309" t="s">
        <v>20</v>
      </c>
      <c r="C309" t="s">
        <v>9</v>
      </c>
      <c r="D309" t="s">
        <v>10</v>
      </c>
      <c r="E309" t="s">
        <v>28</v>
      </c>
      <c r="F309">
        <v>3</v>
      </c>
      <c r="G309">
        <v>28.94</v>
      </c>
      <c r="H309">
        <v>86.82</v>
      </c>
      <c r="I309" t="str">
        <f>TEXT(SalesData[[#This Row],[Order Date]],"mmm-yyyy")</f>
        <v>Mar-2025</v>
      </c>
    </row>
    <row r="310" spans="1:9" x14ac:dyDescent="0.3">
      <c r="A310" s="1">
        <v>46005</v>
      </c>
      <c r="B310" t="s">
        <v>8</v>
      </c>
      <c r="C310" t="s">
        <v>9</v>
      </c>
      <c r="D310" t="s">
        <v>10</v>
      </c>
      <c r="E310" t="s">
        <v>17</v>
      </c>
      <c r="F310">
        <v>3</v>
      </c>
      <c r="G310">
        <v>31.77</v>
      </c>
      <c r="H310">
        <v>95.31</v>
      </c>
      <c r="I310" t="str">
        <f>TEXT(SalesData[[#This Row],[Order Date]],"mmm-yyyy")</f>
        <v>Dec-2025</v>
      </c>
    </row>
    <row r="311" spans="1:9" x14ac:dyDescent="0.3">
      <c r="A311" s="1">
        <v>45861</v>
      </c>
      <c r="B311" t="s">
        <v>8</v>
      </c>
      <c r="C311" t="s">
        <v>22</v>
      </c>
      <c r="D311" t="s">
        <v>10</v>
      </c>
      <c r="E311" t="s">
        <v>27</v>
      </c>
      <c r="F311">
        <v>5</v>
      </c>
      <c r="G311">
        <v>66.790000000000006</v>
      </c>
      <c r="H311">
        <v>333.95</v>
      </c>
      <c r="I311" t="str">
        <f>TEXT(SalesData[[#This Row],[Order Date]],"mmm-yyyy")</f>
        <v>Jul-2025</v>
      </c>
    </row>
    <row r="312" spans="1:9" x14ac:dyDescent="0.3">
      <c r="A312" s="1">
        <v>45969</v>
      </c>
      <c r="B312" t="s">
        <v>8</v>
      </c>
      <c r="C312" t="s">
        <v>24</v>
      </c>
      <c r="D312" t="s">
        <v>19</v>
      </c>
      <c r="E312" t="s">
        <v>31</v>
      </c>
      <c r="F312">
        <v>7</v>
      </c>
      <c r="G312">
        <v>246.95</v>
      </c>
      <c r="H312">
        <v>1728.65</v>
      </c>
      <c r="I312" t="str">
        <f>TEXT(SalesData[[#This Row],[Order Date]],"mmm-yyyy")</f>
        <v>Nov-2025</v>
      </c>
    </row>
    <row r="313" spans="1:9" x14ac:dyDescent="0.3">
      <c r="A313" s="1">
        <v>45790</v>
      </c>
      <c r="B313" t="s">
        <v>12</v>
      </c>
      <c r="C313" t="s">
        <v>9</v>
      </c>
      <c r="D313" t="s">
        <v>10</v>
      </c>
      <c r="E313" t="s">
        <v>27</v>
      </c>
      <c r="F313">
        <v>6</v>
      </c>
      <c r="G313">
        <v>27.47</v>
      </c>
      <c r="H313">
        <v>164.82</v>
      </c>
      <c r="I313" t="str">
        <f>TEXT(SalesData[[#This Row],[Order Date]],"mmm-yyyy")</f>
        <v>May-2025</v>
      </c>
    </row>
    <row r="314" spans="1:9" x14ac:dyDescent="0.3">
      <c r="A314" s="1">
        <v>45450</v>
      </c>
      <c r="B314" t="s">
        <v>8</v>
      </c>
      <c r="C314" t="s">
        <v>29</v>
      </c>
      <c r="D314" t="s">
        <v>30</v>
      </c>
      <c r="E314" t="s">
        <v>23</v>
      </c>
      <c r="F314">
        <v>8</v>
      </c>
      <c r="G314">
        <v>289.62</v>
      </c>
      <c r="H314">
        <v>2316.96</v>
      </c>
      <c r="I314" t="str">
        <f>TEXT(SalesData[[#This Row],[Order Date]],"mmm-yyyy")</f>
        <v>Jun-2024</v>
      </c>
    </row>
    <row r="315" spans="1:9" x14ac:dyDescent="0.3">
      <c r="A315" s="1">
        <v>45486</v>
      </c>
      <c r="B315" t="s">
        <v>8</v>
      </c>
      <c r="C315" t="s">
        <v>18</v>
      </c>
      <c r="D315" t="s">
        <v>19</v>
      </c>
      <c r="E315" t="s">
        <v>26</v>
      </c>
      <c r="F315">
        <v>2</v>
      </c>
      <c r="G315">
        <v>983.28</v>
      </c>
      <c r="H315">
        <v>1966.56</v>
      </c>
      <c r="I315" t="str">
        <f>TEXT(SalesData[[#This Row],[Order Date]],"mmm-yyyy")</f>
        <v>Jul-2024</v>
      </c>
    </row>
    <row r="316" spans="1:9" x14ac:dyDescent="0.3">
      <c r="A316" s="1">
        <v>45595</v>
      </c>
      <c r="B316" t="s">
        <v>8</v>
      </c>
      <c r="C316" t="s">
        <v>29</v>
      </c>
      <c r="D316" t="s">
        <v>30</v>
      </c>
      <c r="E316" t="s">
        <v>28</v>
      </c>
      <c r="F316">
        <v>6</v>
      </c>
      <c r="G316">
        <v>341.5</v>
      </c>
      <c r="H316">
        <v>2049</v>
      </c>
      <c r="I316" t="str">
        <f>TEXT(SalesData[[#This Row],[Order Date]],"mmm-yyyy")</f>
        <v>Oct-2024</v>
      </c>
    </row>
    <row r="317" spans="1:9" x14ac:dyDescent="0.3">
      <c r="A317" s="1">
        <v>45514</v>
      </c>
      <c r="B317" t="s">
        <v>12</v>
      </c>
      <c r="C317" t="s">
        <v>18</v>
      </c>
      <c r="D317" t="s">
        <v>19</v>
      </c>
      <c r="E317" t="s">
        <v>31</v>
      </c>
      <c r="F317">
        <v>7</v>
      </c>
      <c r="G317">
        <v>935.28</v>
      </c>
      <c r="H317">
        <v>6546.96</v>
      </c>
      <c r="I317" t="str">
        <f>TEXT(SalesData[[#This Row],[Order Date]],"mmm-yyyy")</f>
        <v>Aug-2024</v>
      </c>
    </row>
    <row r="318" spans="1:9" x14ac:dyDescent="0.3">
      <c r="A318" s="1">
        <v>45351</v>
      </c>
      <c r="B318" t="s">
        <v>12</v>
      </c>
      <c r="C318" t="s">
        <v>25</v>
      </c>
      <c r="D318" t="s">
        <v>16</v>
      </c>
      <c r="E318" t="s">
        <v>11</v>
      </c>
      <c r="F318">
        <v>5</v>
      </c>
      <c r="G318">
        <v>176.72</v>
      </c>
      <c r="H318">
        <v>883.6</v>
      </c>
      <c r="I318" t="str">
        <f>TEXT(SalesData[[#This Row],[Order Date]],"mmm-yyyy")</f>
        <v>Feb-2024</v>
      </c>
    </row>
    <row r="319" spans="1:9" x14ac:dyDescent="0.3">
      <c r="A319" s="1">
        <v>45885</v>
      </c>
      <c r="B319" t="s">
        <v>12</v>
      </c>
      <c r="C319" t="s">
        <v>22</v>
      </c>
      <c r="D319" t="s">
        <v>10</v>
      </c>
      <c r="E319" t="s">
        <v>26</v>
      </c>
      <c r="F319">
        <v>5</v>
      </c>
      <c r="G319">
        <v>65.430000000000007</v>
      </c>
      <c r="H319">
        <v>327.14999999999998</v>
      </c>
      <c r="I319" t="str">
        <f>TEXT(SalesData[[#This Row],[Order Date]],"mmm-yyyy")</f>
        <v>Aug-2025</v>
      </c>
    </row>
    <row r="320" spans="1:9" x14ac:dyDescent="0.3">
      <c r="A320" s="1">
        <v>45847</v>
      </c>
      <c r="B320" t="s">
        <v>20</v>
      </c>
      <c r="C320" t="s">
        <v>24</v>
      </c>
      <c r="D320" t="s">
        <v>19</v>
      </c>
      <c r="E320" t="s">
        <v>28</v>
      </c>
      <c r="F320">
        <v>7</v>
      </c>
      <c r="G320">
        <v>232.82</v>
      </c>
      <c r="H320">
        <v>1629.74</v>
      </c>
      <c r="I320" t="str">
        <f>TEXT(SalesData[[#This Row],[Order Date]],"mmm-yyyy")</f>
        <v>Jul-2025</v>
      </c>
    </row>
    <row r="321" spans="1:9" x14ac:dyDescent="0.3">
      <c r="A321" s="1">
        <v>45354</v>
      </c>
      <c r="B321" t="s">
        <v>14</v>
      </c>
      <c r="C321" t="s">
        <v>25</v>
      </c>
      <c r="D321" t="s">
        <v>16</v>
      </c>
      <c r="E321" t="s">
        <v>11</v>
      </c>
      <c r="F321">
        <v>3</v>
      </c>
      <c r="G321">
        <v>171.01</v>
      </c>
      <c r="H321">
        <v>513.03</v>
      </c>
      <c r="I321" t="str">
        <f>TEXT(SalesData[[#This Row],[Order Date]],"mmm-yyyy")</f>
        <v>Mar-2024</v>
      </c>
    </row>
    <row r="322" spans="1:9" x14ac:dyDescent="0.3">
      <c r="A322" s="1">
        <v>45613</v>
      </c>
      <c r="B322" t="s">
        <v>12</v>
      </c>
      <c r="C322" t="s">
        <v>18</v>
      </c>
      <c r="D322" t="s">
        <v>19</v>
      </c>
      <c r="E322" t="s">
        <v>26</v>
      </c>
      <c r="F322">
        <v>1</v>
      </c>
      <c r="G322">
        <v>908.86</v>
      </c>
      <c r="H322">
        <v>908.86</v>
      </c>
      <c r="I322" t="str">
        <f>TEXT(SalesData[[#This Row],[Order Date]],"mmm-yyyy")</f>
        <v>Nov-2024</v>
      </c>
    </row>
    <row r="323" spans="1:9" x14ac:dyDescent="0.3">
      <c r="A323" s="1">
        <v>45350</v>
      </c>
      <c r="B323" t="s">
        <v>8</v>
      </c>
      <c r="C323" t="s">
        <v>25</v>
      </c>
      <c r="D323" t="s">
        <v>16</v>
      </c>
      <c r="E323" t="s">
        <v>26</v>
      </c>
      <c r="F323">
        <v>8</v>
      </c>
      <c r="G323">
        <v>187.73</v>
      </c>
      <c r="H323">
        <v>1501.84</v>
      </c>
      <c r="I323" t="str">
        <f>TEXT(SalesData[[#This Row],[Order Date]],"mmm-yyyy")</f>
        <v>Feb-2024</v>
      </c>
    </row>
    <row r="324" spans="1:9" x14ac:dyDescent="0.3">
      <c r="A324" s="1">
        <v>45343</v>
      </c>
      <c r="B324" t="s">
        <v>20</v>
      </c>
      <c r="C324" t="s">
        <v>21</v>
      </c>
      <c r="D324" t="s">
        <v>10</v>
      </c>
      <c r="E324" t="s">
        <v>26</v>
      </c>
      <c r="F324">
        <v>6</v>
      </c>
      <c r="G324">
        <v>46.44</v>
      </c>
      <c r="H324">
        <v>278.64</v>
      </c>
      <c r="I324" t="str">
        <f>TEXT(SalesData[[#This Row],[Order Date]],"mmm-yyyy")</f>
        <v>Feb-2024</v>
      </c>
    </row>
    <row r="325" spans="1:9" x14ac:dyDescent="0.3">
      <c r="A325" s="1">
        <v>45890</v>
      </c>
      <c r="B325" t="s">
        <v>20</v>
      </c>
      <c r="C325" t="s">
        <v>15</v>
      </c>
      <c r="D325" t="s">
        <v>16</v>
      </c>
      <c r="E325" t="s">
        <v>17</v>
      </c>
      <c r="F325">
        <v>5</v>
      </c>
      <c r="G325">
        <v>382.39</v>
      </c>
      <c r="H325">
        <v>1911.95</v>
      </c>
      <c r="I325" t="str">
        <f>TEXT(SalesData[[#This Row],[Order Date]],"mmm-yyyy")</f>
        <v>Aug-2025</v>
      </c>
    </row>
    <row r="326" spans="1:9" x14ac:dyDescent="0.3">
      <c r="A326" s="1">
        <v>45780</v>
      </c>
      <c r="B326" t="s">
        <v>12</v>
      </c>
      <c r="C326" t="s">
        <v>29</v>
      </c>
      <c r="D326" t="s">
        <v>30</v>
      </c>
      <c r="E326" t="s">
        <v>28</v>
      </c>
      <c r="F326">
        <v>8</v>
      </c>
      <c r="G326">
        <v>349.11</v>
      </c>
      <c r="H326">
        <v>2792.88</v>
      </c>
      <c r="I326" t="str">
        <f>TEXT(SalesData[[#This Row],[Order Date]],"mmm-yyyy")</f>
        <v>May-2025</v>
      </c>
    </row>
    <row r="327" spans="1:9" x14ac:dyDescent="0.3">
      <c r="A327" s="1">
        <v>45806</v>
      </c>
      <c r="B327" t="s">
        <v>8</v>
      </c>
      <c r="C327" t="s">
        <v>25</v>
      </c>
      <c r="D327" t="s">
        <v>16</v>
      </c>
      <c r="E327" t="s">
        <v>23</v>
      </c>
      <c r="F327">
        <v>2</v>
      </c>
      <c r="G327">
        <v>188.56</v>
      </c>
      <c r="H327">
        <v>377.12</v>
      </c>
      <c r="I327" t="str">
        <f>TEXT(SalesData[[#This Row],[Order Date]],"mmm-yyyy")</f>
        <v>May-2025</v>
      </c>
    </row>
    <row r="328" spans="1:9" x14ac:dyDescent="0.3">
      <c r="A328" s="1">
        <v>45835</v>
      </c>
      <c r="B328" t="s">
        <v>20</v>
      </c>
      <c r="C328" t="s">
        <v>18</v>
      </c>
      <c r="D328" t="s">
        <v>19</v>
      </c>
      <c r="E328" t="s">
        <v>31</v>
      </c>
      <c r="F328">
        <v>8</v>
      </c>
      <c r="G328">
        <v>909.78</v>
      </c>
      <c r="H328">
        <v>7278.24</v>
      </c>
      <c r="I328" t="str">
        <f>TEXT(SalesData[[#This Row],[Order Date]],"mmm-yyyy")</f>
        <v>Jun-2025</v>
      </c>
    </row>
    <row r="329" spans="1:9" x14ac:dyDescent="0.3">
      <c r="A329" s="1">
        <v>45453</v>
      </c>
      <c r="B329" t="s">
        <v>14</v>
      </c>
      <c r="C329" t="s">
        <v>18</v>
      </c>
      <c r="D329" t="s">
        <v>19</v>
      </c>
      <c r="E329" t="s">
        <v>11</v>
      </c>
      <c r="F329">
        <v>8</v>
      </c>
      <c r="G329">
        <v>920.11</v>
      </c>
      <c r="H329">
        <v>7360.88</v>
      </c>
      <c r="I329" t="str">
        <f>TEXT(SalesData[[#This Row],[Order Date]],"mmm-yyyy")</f>
        <v>Jun-2024</v>
      </c>
    </row>
    <row r="330" spans="1:9" x14ac:dyDescent="0.3">
      <c r="A330" s="1">
        <v>45350</v>
      </c>
      <c r="B330" t="s">
        <v>12</v>
      </c>
      <c r="C330" t="s">
        <v>21</v>
      </c>
      <c r="D330" t="s">
        <v>10</v>
      </c>
      <c r="E330" t="s">
        <v>13</v>
      </c>
      <c r="F330">
        <v>4</v>
      </c>
      <c r="G330">
        <v>44.28</v>
      </c>
      <c r="H330">
        <v>177.12</v>
      </c>
      <c r="I330" t="str">
        <f>TEXT(SalesData[[#This Row],[Order Date]],"mmm-yyyy")</f>
        <v>Feb-2024</v>
      </c>
    </row>
    <row r="331" spans="1:9" x14ac:dyDescent="0.3">
      <c r="A331" s="1">
        <v>45812</v>
      </c>
      <c r="B331" t="s">
        <v>8</v>
      </c>
      <c r="C331" t="s">
        <v>9</v>
      </c>
      <c r="D331" t="s">
        <v>10</v>
      </c>
      <c r="E331" t="s">
        <v>28</v>
      </c>
      <c r="F331">
        <v>1</v>
      </c>
      <c r="G331">
        <v>28.49</v>
      </c>
      <c r="H331">
        <v>28.49</v>
      </c>
      <c r="I331" t="str">
        <f>TEXT(SalesData[[#This Row],[Order Date]],"mmm-yyyy")</f>
        <v>Jun-2025</v>
      </c>
    </row>
    <row r="332" spans="1:9" x14ac:dyDescent="0.3">
      <c r="A332" s="1">
        <v>45374</v>
      </c>
      <c r="B332" t="s">
        <v>8</v>
      </c>
      <c r="C332" t="s">
        <v>15</v>
      </c>
      <c r="D332" t="s">
        <v>16</v>
      </c>
      <c r="E332" t="s">
        <v>31</v>
      </c>
      <c r="F332">
        <v>3</v>
      </c>
      <c r="G332">
        <v>388.48</v>
      </c>
      <c r="H332">
        <v>1165.44</v>
      </c>
      <c r="I332" t="str">
        <f>TEXT(SalesData[[#This Row],[Order Date]],"mmm-yyyy")</f>
        <v>Mar-2024</v>
      </c>
    </row>
    <row r="333" spans="1:9" x14ac:dyDescent="0.3">
      <c r="A333" s="1">
        <v>45482</v>
      </c>
      <c r="B333" t="s">
        <v>12</v>
      </c>
      <c r="C333" t="s">
        <v>15</v>
      </c>
      <c r="D333" t="s">
        <v>16</v>
      </c>
      <c r="E333" t="s">
        <v>26</v>
      </c>
      <c r="F333">
        <v>8</v>
      </c>
      <c r="G333">
        <v>420.63</v>
      </c>
      <c r="H333">
        <v>3365.04</v>
      </c>
      <c r="I333" t="str">
        <f>TEXT(SalesData[[#This Row],[Order Date]],"mmm-yyyy")</f>
        <v>Jul-2024</v>
      </c>
    </row>
    <row r="334" spans="1:9" x14ac:dyDescent="0.3">
      <c r="A334" s="1">
        <v>45362</v>
      </c>
      <c r="B334" t="s">
        <v>8</v>
      </c>
      <c r="C334" t="s">
        <v>9</v>
      </c>
      <c r="D334" t="s">
        <v>10</v>
      </c>
      <c r="E334" t="s">
        <v>11</v>
      </c>
      <c r="F334">
        <v>6</v>
      </c>
      <c r="G334">
        <v>27.09</v>
      </c>
      <c r="H334">
        <v>162.54</v>
      </c>
      <c r="I334" t="str">
        <f>TEXT(SalesData[[#This Row],[Order Date]],"mmm-yyyy")</f>
        <v>Mar-2024</v>
      </c>
    </row>
    <row r="335" spans="1:9" x14ac:dyDescent="0.3">
      <c r="A335" s="1">
        <v>45901</v>
      </c>
      <c r="B335" t="s">
        <v>8</v>
      </c>
      <c r="C335" t="s">
        <v>25</v>
      </c>
      <c r="D335" t="s">
        <v>16</v>
      </c>
      <c r="E335" t="s">
        <v>28</v>
      </c>
      <c r="F335">
        <v>3</v>
      </c>
      <c r="G335">
        <v>166.18</v>
      </c>
      <c r="H335">
        <v>498.54</v>
      </c>
      <c r="I335" t="str">
        <f>TEXT(SalesData[[#This Row],[Order Date]],"mmm-yyyy")</f>
        <v>Sep-2025</v>
      </c>
    </row>
    <row r="336" spans="1:9" x14ac:dyDescent="0.3">
      <c r="A336" s="1">
        <v>45361</v>
      </c>
      <c r="B336" t="s">
        <v>8</v>
      </c>
      <c r="C336" t="s">
        <v>25</v>
      </c>
      <c r="D336" t="s">
        <v>16</v>
      </c>
      <c r="E336" t="s">
        <v>31</v>
      </c>
      <c r="F336">
        <v>5</v>
      </c>
      <c r="G336">
        <v>163.66</v>
      </c>
      <c r="H336">
        <v>818.3</v>
      </c>
      <c r="I336" t="str">
        <f>TEXT(SalesData[[#This Row],[Order Date]],"mmm-yyyy")</f>
        <v>Mar-2024</v>
      </c>
    </row>
    <row r="337" spans="1:9" x14ac:dyDescent="0.3">
      <c r="A337" s="1">
        <v>45983</v>
      </c>
      <c r="B337" t="s">
        <v>20</v>
      </c>
      <c r="C337" t="s">
        <v>9</v>
      </c>
      <c r="D337" t="s">
        <v>10</v>
      </c>
      <c r="E337" t="s">
        <v>31</v>
      </c>
      <c r="F337">
        <v>5</v>
      </c>
      <c r="G337">
        <v>27.24</v>
      </c>
      <c r="H337">
        <v>136.19999999999999</v>
      </c>
      <c r="I337" t="str">
        <f>TEXT(SalesData[[#This Row],[Order Date]],"mmm-yyyy")</f>
        <v>Nov-2025</v>
      </c>
    </row>
    <row r="338" spans="1:9" x14ac:dyDescent="0.3">
      <c r="A338" s="1">
        <v>45532</v>
      </c>
      <c r="B338" t="s">
        <v>14</v>
      </c>
      <c r="C338" t="s">
        <v>29</v>
      </c>
      <c r="D338" t="s">
        <v>30</v>
      </c>
      <c r="E338" t="s">
        <v>17</v>
      </c>
      <c r="F338">
        <v>5</v>
      </c>
      <c r="G338">
        <v>342.75</v>
      </c>
      <c r="H338">
        <v>1713.75</v>
      </c>
      <c r="I338" t="str">
        <f>TEXT(SalesData[[#This Row],[Order Date]],"mmm-yyyy")</f>
        <v>Aug-2024</v>
      </c>
    </row>
    <row r="339" spans="1:9" x14ac:dyDescent="0.3">
      <c r="A339" s="1">
        <v>45705</v>
      </c>
      <c r="B339" t="s">
        <v>20</v>
      </c>
      <c r="C339" t="s">
        <v>25</v>
      </c>
      <c r="D339" t="s">
        <v>16</v>
      </c>
      <c r="E339" t="s">
        <v>23</v>
      </c>
      <c r="F339">
        <v>8</v>
      </c>
      <c r="G339">
        <v>187.33</v>
      </c>
      <c r="H339">
        <v>1498.64</v>
      </c>
      <c r="I339" t="str">
        <f>TEXT(SalesData[[#This Row],[Order Date]],"mmm-yyyy")</f>
        <v>Feb-2025</v>
      </c>
    </row>
    <row r="340" spans="1:9" x14ac:dyDescent="0.3">
      <c r="A340" s="1">
        <v>45414</v>
      </c>
      <c r="B340" t="s">
        <v>8</v>
      </c>
      <c r="C340" t="s">
        <v>29</v>
      </c>
      <c r="D340" t="s">
        <v>30</v>
      </c>
      <c r="E340" t="s">
        <v>11</v>
      </c>
      <c r="F340">
        <v>2</v>
      </c>
      <c r="G340">
        <v>318.35000000000002</v>
      </c>
      <c r="H340">
        <v>636.70000000000005</v>
      </c>
      <c r="I340" t="str">
        <f>TEXT(SalesData[[#This Row],[Order Date]],"mmm-yyyy")</f>
        <v>May-2024</v>
      </c>
    </row>
    <row r="341" spans="1:9" x14ac:dyDescent="0.3">
      <c r="A341" s="1">
        <v>45875</v>
      </c>
      <c r="B341" t="s">
        <v>20</v>
      </c>
      <c r="C341" t="s">
        <v>25</v>
      </c>
      <c r="D341" t="s">
        <v>16</v>
      </c>
      <c r="E341" t="s">
        <v>27</v>
      </c>
      <c r="F341">
        <v>3</v>
      </c>
      <c r="G341">
        <v>165.52</v>
      </c>
      <c r="H341">
        <v>496.56</v>
      </c>
      <c r="I341" t="str">
        <f>TEXT(SalesData[[#This Row],[Order Date]],"mmm-yyyy")</f>
        <v>Aug-2025</v>
      </c>
    </row>
    <row r="342" spans="1:9" x14ac:dyDescent="0.3">
      <c r="A342" s="1">
        <v>45544</v>
      </c>
      <c r="B342" t="s">
        <v>20</v>
      </c>
      <c r="C342" t="s">
        <v>29</v>
      </c>
      <c r="D342" t="s">
        <v>30</v>
      </c>
      <c r="E342" t="s">
        <v>17</v>
      </c>
      <c r="F342">
        <v>2</v>
      </c>
      <c r="G342">
        <v>319.45999999999998</v>
      </c>
      <c r="H342">
        <v>638.91999999999996</v>
      </c>
      <c r="I342" t="str">
        <f>TEXT(SalesData[[#This Row],[Order Date]],"mmm-yyyy")</f>
        <v>Sep-2024</v>
      </c>
    </row>
    <row r="343" spans="1:9" x14ac:dyDescent="0.3">
      <c r="A343" s="1">
        <v>45884</v>
      </c>
      <c r="B343" t="s">
        <v>14</v>
      </c>
      <c r="C343" t="s">
        <v>29</v>
      </c>
      <c r="D343" t="s">
        <v>30</v>
      </c>
      <c r="E343" t="s">
        <v>31</v>
      </c>
      <c r="F343">
        <v>8</v>
      </c>
      <c r="G343">
        <v>318.3</v>
      </c>
      <c r="H343">
        <v>2546.4</v>
      </c>
      <c r="I343" t="str">
        <f>TEXT(SalesData[[#This Row],[Order Date]],"mmm-yyyy")</f>
        <v>Aug-2025</v>
      </c>
    </row>
    <row r="344" spans="1:9" x14ac:dyDescent="0.3">
      <c r="A344" s="1">
        <v>45900</v>
      </c>
      <c r="B344" t="s">
        <v>14</v>
      </c>
      <c r="C344" t="s">
        <v>29</v>
      </c>
      <c r="D344" t="s">
        <v>30</v>
      </c>
      <c r="E344" t="s">
        <v>13</v>
      </c>
      <c r="F344">
        <v>5</v>
      </c>
      <c r="G344">
        <v>299.08</v>
      </c>
      <c r="H344">
        <v>1495.4</v>
      </c>
      <c r="I344" t="str">
        <f>TEXT(SalesData[[#This Row],[Order Date]],"mmm-yyyy")</f>
        <v>Aug-2025</v>
      </c>
    </row>
    <row r="345" spans="1:9" x14ac:dyDescent="0.3">
      <c r="A345" s="1">
        <v>45332</v>
      </c>
      <c r="B345" t="s">
        <v>12</v>
      </c>
      <c r="C345" t="s">
        <v>9</v>
      </c>
      <c r="D345" t="s">
        <v>10</v>
      </c>
      <c r="E345" t="s">
        <v>31</v>
      </c>
      <c r="F345">
        <v>4</v>
      </c>
      <c r="G345">
        <v>29.6</v>
      </c>
      <c r="H345">
        <v>118.4</v>
      </c>
      <c r="I345" t="str">
        <f>TEXT(SalesData[[#This Row],[Order Date]],"mmm-yyyy")</f>
        <v>Feb-2024</v>
      </c>
    </row>
    <row r="346" spans="1:9" x14ac:dyDescent="0.3">
      <c r="A346" s="1">
        <v>45926</v>
      </c>
      <c r="B346" t="s">
        <v>12</v>
      </c>
      <c r="C346" t="s">
        <v>9</v>
      </c>
      <c r="D346" t="s">
        <v>10</v>
      </c>
      <c r="E346" t="s">
        <v>11</v>
      </c>
      <c r="F346">
        <v>1</v>
      </c>
      <c r="G346">
        <v>29.39</v>
      </c>
      <c r="H346">
        <v>29.39</v>
      </c>
      <c r="I346" t="str">
        <f>TEXT(SalesData[[#This Row],[Order Date]],"mmm-yyyy")</f>
        <v>Sep-2025</v>
      </c>
    </row>
    <row r="347" spans="1:9" x14ac:dyDescent="0.3">
      <c r="A347" s="1">
        <v>45375</v>
      </c>
      <c r="B347" t="s">
        <v>12</v>
      </c>
      <c r="C347" t="s">
        <v>25</v>
      </c>
      <c r="D347" t="s">
        <v>16</v>
      </c>
      <c r="E347" t="s">
        <v>26</v>
      </c>
      <c r="F347">
        <v>8</v>
      </c>
      <c r="G347">
        <v>184.17</v>
      </c>
      <c r="H347">
        <v>1473.36</v>
      </c>
      <c r="I347" t="str">
        <f>TEXT(SalesData[[#This Row],[Order Date]],"mmm-yyyy")</f>
        <v>Mar-2024</v>
      </c>
    </row>
    <row r="348" spans="1:9" x14ac:dyDescent="0.3">
      <c r="A348" s="1">
        <v>45721</v>
      </c>
      <c r="B348" t="s">
        <v>8</v>
      </c>
      <c r="C348" t="s">
        <v>18</v>
      </c>
      <c r="D348" t="s">
        <v>19</v>
      </c>
      <c r="E348" t="s">
        <v>17</v>
      </c>
      <c r="F348">
        <v>3</v>
      </c>
      <c r="G348">
        <v>924.32</v>
      </c>
      <c r="H348">
        <v>2772.96</v>
      </c>
      <c r="I348" t="str">
        <f>TEXT(SalesData[[#This Row],[Order Date]],"mmm-yyyy")</f>
        <v>Mar-2025</v>
      </c>
    </row>
    <row r="349" spans="1:9" x14ac:dyDescent="0.3">
      <c r="A349" s="1">
        <v>45965</v>
      </c>
      <c r="B349" t="s">
        <v>20</v>
      </c>
      <c r="C349" t="s">
        <v>22</v>
      </c>
      <c r="D349" t="s">
        <v>10</v>
      </c>
      <c r="E349" t="s">
        <v>28</v>
      </c>
      <c r="F349">
        <v>4</v>
      </c>
      <c r="G349">
        <v>63.63</v>
      </c>
      <c r="H349">
        <v>254.52</v>
      </c>
      <c r="I349" t="str">
        <f>TEXT(SalesData[[#This Row],[Order Date]],"mmm-yyyy")</f>
        <v>Nov-2025</v>
      </c>
    </row>
    <row r="350" spans="1:9" x14ac:dyDescent="0.3">
      <c r="A350" s="1">
        <v>45889</v>
      </c>
      <c r="B350" t="s">
        <v>12</v>
      </c>
      <c r="C350" t="s">
        <v>29</v>
      </c>
      <c r="D350" t="s">
        <v>30</v>
      </c>
      <c r="E350" t="s">
        <v>31</v>
      </c>
      <c r="F350">
        <v>1</v>
      </c>
      <c r="G350">
        <v>311.98</v>
      </c>
      <c r="H350">
        <v>311.98</v>
      </c>
      <c r="I350" t="str">
        <f>TEXT(SalesData[[#This Row],[Order Date]],"mmm-yyyy")</f>
        <v>Aug-2025</v>
      </c>
    </row>
    <row r="351" spans="1:9" x14ac:dyDescent="0.3">
      <c r="A351" s="1">
        <v>45870</v>
      </c>
      <c r="B351" t="s">
        <v>8</v>
      </c>
      <c r="C351" t="s">
        <v>18</v>
      </c>
      <c r="D351" t="s">
        <v>19</v>
      </c>
      <c r="E351" t="s">
        <v>26</v>
      </c>
      <c r="F351">
        <v>3</v>
      </c>
      <c r="G351">
        <v>922.65</v>
      </c>
      <c r="H351">
        <v>2767.95</v>
      </c>
      <c r="I351" t="str">
        <f>TEXT(SalesData[[#This Row],[Order Date]],"mmm-yyyy")</f>
        <v>Aug-2025</v>
      </c>
    </row>
    <row r="352" spans="1:9" x14ac:dyDescent="0.3">
      <c r="A352" s="1">
        <v>45827</v>
      </c>
      <c r="B352" t="s">
        <v>8</v>
      </c>
      <c r="C352" t="s">
        <v>18</v>
      </c>
      <c r="D352" t="s">
        <v>19</v>
      </c>
      <c r="E352" t="s">
        <v>26</v>
      </c>
      <c r="F352">
        <v>7</v>
      </c>
      <c r="G352">
        <v>900.56</v>
      </c>
      <c r="H352">
        <v>6303.92</v>
      </c>
      <c r="I352" t="str">
        <f>TEXT(SalesData[[#This Row],[Order Date]],"mmm-yyyy")</f>
        <v>Jun-2025</v>
      </c>
    </row>
    <row r="353" spans="1:9" x14ac:dyDescent="0.3">
      <c r="A353" s="1">
        <v>45615</v>
      </c>
      <c r="B353" t="s">
        <v>12</v>
      </c>
      <c r="C353" t="s">
        <v>29</v>
      </c>
      <c r="D353" t="s">
        <v>30</v>
      </c>
      <c r="E353" t="s">
        <v>23</v>
      </c>
      <c r="F353">
        <v>1</v>
      </c>
      <c r="G353">
        <v>342.82</v>
      </c>
      <c r="H353">
        <v>342.82</v>
      </c>
      <c r="I353" t="str">
        <f>TEXT(SalesData[[#This Row],[Order Date]],"mmm-yyyy")</f>
        <v>Nov-2024</v>
      </c>
    </row>
    <row r="354" spans="1:9" x14ac:dyDescent="0.3">
      <c r="A354" s="1">
        <v>45559</v>
      </c>
      <c r="B354" t="s">
        <v>20</v>
      </c>
      <c r="C354" t="s">
        <v>24</v>
      </c>
      <c r="D354" t="s">
        <v>19</v>
      </c>
      <c r="E354" t="s">
        <v>17</v>
      </c>
      <c r="F354">
        <v>6</v>
      </c>
      <c r="G354">
        <v>257.93</v>
      </c>
      <c r="H354">
        <v>1547.58</v>
      </c>
      <c r="I354" t="str">
        <f>TEXT(SalesData[[#This Row],[Order Date]],"mmm-yyyy")</f>
        <v>Sep-2024</v>
      </c>
    </row>
    <row r="355" spans="1:9" x14ac:dyDescent="0.3">
      <c r="A355" s="1">
        <v>45501</v>
      </c>
      <c r="B355" t="s">
        <v>8</v>
      </c>
      <c r="C355" t="s">
        <v>22</v>
      </c>
      <c r="D355" t="s">
        <v>10</v>
      </c>
      <c r="E355" t="s">
        <v>23</v>
      </c>
      <c r="F355">
        <v>3</v>
      </c>
      <c r="G355">
        <v>65.28</v>
      </c>
      <c r="H355">
        <v>195.84</v>
      </c>
      <c r="I355" t="str">
        <f>TEXT(SalesData[[#This Row],[Order Date]],"mmm-yyyy")</f>
        <v>Jul-2024</v>
      </c>
    </row>
    <row r="356" spans="1:9" x14ac:dyDescent="0.3">
      <c r="A356" s="1">
        <v>45977</v>
      </c>
      <c r="B356" t="s">
        <v>20</v>
      </c>
      <c r="C356" t="s">
        <v>9</v>
      </c>
      <c r="D356" t="s">
        <v>10</v>
      </c>
      <c r="E356" t="s">
        <v>26</v>
      </c>
      <c r="F356">
        <v>2</v>
      </c>
      <c r="G356">
        <v>27.42</v>
      </c>
      <c r="H356">
        <v>54.84</v>
      </c>
      <c r="I356" t="str">
        <f>TEXT(SalesData[[#This Row],[Order Date]],"mmm-yyyy")</f>
        <v>Nov-2025</v>
      </c>
    </row>
    <row r="357" spans="1:9" x14ac:dyDescent="0.3">
      <c r="A357" s="1">
        <v>45613</v>
      </c>
      <c r="B357" t="s">
        <v>14</v>
      </c>
      <c r="C357" t="s">
        <v>22</v>
      </c>
      <c r="D357" t="s">
        <v>10</v>
      </c>
      <c r="E357" t="s">
        <v>27</v>
      </c>
      <c r="F357">
        <v>5</v>
      </c>
      <c r="G357">
        <v>71.989999999999995</v>
      </c>
      <c r="H357">
        <v>359.95</v>
      </c>
      <c r="I357" t="str">
        <f>TEXT(SalesData[[#This Row],[Order Date]],"mmm-yyyy")</f>
        <v>Nov-2024</v>
      </c>
    </row>
    <row r="358" spans="1:9" x14ac:dyDescent="0.3">
      <c r="A358" s="1">
        <v>45536</v>
      </c>
      <c r="B358" t="s">
        <v>14</v>
      </c>
      <c r="C358" t="s">
        <v>25</v>
      </c>
      <c r="D358" t="s">
        <v>16</v>
      </c>
      <c r="E358" t="s">
        <v>26</v>
      </c>
      <c r="F358">
        <v>5</v>
      </c>
      <c r="G358">
        <v>162.94999999999999</v>
      </c>
      <c r="H358">
        <v>814.75</v>
      </c>
      <c r="I358" t="str">
        <f>TEXT(SalesData[[#This Row],[Order Date]],"mmm-yyyy")</f>
        <v>Sep-2024</v>
      </c>
    </row>
    <row r="359" spans="1:9" x14ac:dyDescent="0.3">
      <c r="A359" s="1">
        <v>45563</v>
      </c>
      <c r="B359" t="s">
        <v>20</v>
      </c>
      <c r="C359" t="s">
        <v>15</v>
      </c>
      <c r="D359" t="s">
        <v>16</v>
      </c>
      <c r="E359" t="s">
        <v>13</v>
      </c>
      <c r="F359">
        <v>7</v>
      </c>
      <c r="G359">
        <v>406.86</v>
      </c>
      <c r="H359">
        <v>2848.02</v>
      </c>
      <c r="I359" t="str">
        <f>TEXT(SalesData[[#This Row],[Order Date]],"mmm-yyyy")</f>
        <v>Sep-2024</v>
      </c>
    </row>
    <row r="360" spans="1:9" x14ac:dyDescent="0.3">
      <c r="A360" s="1">
        <v>45697</v>
      </c>
      <c r="B360" t="s">
        <v>14</v>
      </c>
      <c r="C360" t="s">
        <v>15</v>
      </c>
      <c r="D360" t="s">
        <v>16</v>
      </c>
      <c r="E360" t="s">
        <v>26</v>
      </c>
      <c r="F360">
        <v>2</v>
      </c>
      <c r="G360">
        <v>435.22</v>
      </c>
      <c r="H360">
        <v>870.44</v>
      </c>
      <c r="I360" t="str">
        <f>TEXT(SalesData[[#This Row],[Order Date]],"mmm-yyyy")</f>
        <v>Feb-2025</v>
      </c>
    </row>
    <row r="361" spans="1:9" x14ac:dyDescent="0.3">
      <c r="A361" s="1">
        <v>45426</v>
      </c>
      <c r="B361" t="s">
        <v>14</v>
      </c>
      <c r="C361" t="s">
        <v>22</v>
      </c>
      <c r="D361" t="s">
        <v>10</v>
      </c>
      <c r="E361" t="s">
        <v>27</v>
      </c>
      <c r="F361">
        <v>6</v>
      </c>
      <c r="G361">
        <v>71.06</v>
      </c>
      <c r="H361">
        <v>426.36</v>
      </c>
      <c r="I361" t="str">
        <f>TEXT(SalesData[[#This Row],[Order Date]],"mmm-yyyy")</f>
        <v>May-2024</v>
      </c>
    </row>
    <row r="362" spans="1:9" x14ac:dyDescent="0.3">
      <c r="A362" s="1">
        <v>45979</v>
      </c>
      <c r="B362" t="s">
        <v>14</v>
      </c>
      <c r="C362" t="s">
        <v>29</v>
      </c>
      <c r="D362" t="s">
        <v>30</v>
      </c>
      <c r="E362" t="s">
        <v>17</v>
      </c>
      <c r="F362">
        <v>7</v>
      </c>
      <c r="G362">
        <v>312.83999999999997</v>
      </c>
      <c r="H362">
        <v>2189.88</v>
      </c>
      <c r="I362" t="str">
        <f>TEXT(SalesData[[#This Row],[Order Date]],"mmm-yyyy")</f>
        <v>Nov-2025</v>
      </c>
    </row>
    <row r="363" spans="1:9" x14ac:dyDescent="0.3">
      <c r="A363" s="1">
        <v>45952</v>
      </c>
      <c r="B363" t="s">
        <v>20</v>
      </c>
      <c r="C363" t="s">
        <v>29</v>
      </c>
      <c r="D363" t="s">
        <v>30</v>
      </c>
      <c r="E363" t="s">
        <v>27</v>
      </c>
      <c r="F363">
        <v>6</v>
      </c>
      <c r="G363">
        <v>329.17</v>
      </c>
      <c r="H363">
        <v>1975.02</v>
      </c>
      <c r="I363" t="str">
        <f>TEXT(SalesData[[#This Row],[Order Date]],"mmm-yyyy")</f>
        <v>Oct-2025</v>
      </c>
    </row>
    <row r="364" spans="1:9" x14ac:dyDescent="0.3">
      <c r="A364" s="1">
        <v>45599</v>
      </c>
      <c r="B364" t="s">
        <v>14</v>
      </c>
      <c r="C364" t="s">
        <v>29</v>
      </c>
      <c r="D364" t="s">
        <v>30</v>
      </c>
      <c r="E364" t="s">
        <v>27</v>
      </c>
      <c r="F364">
        <v>6</v>
      </c>
      <c r="G364">
        <v>317.33</v>
      </c>
      <c r="H364">
        <v>1903.98</v>
      </c>
      <c r="I364" t="str">
        <f>TEXT(SalesData[[#This Row],[Order Date]],"mmm-yyyy")</f>
        <v>Nov-2024</v>
      </c>
    </row>
    <row r="365" spans="1:9" x14ac:dyDescent="0.3">
      <c r="A365" s="1">
        <v>45760</v>
      </c>
      <c r="B365" t="s">
        <v>20</v>
      </c>
      <c r="C365" t="s">
        <v>24</v>
      </c>
      <c r="D365" t="s">
        <v>19</v>
      </c>
      <c r="E365" t="s">
        <v>26</v>
      </c>
      <c r="F365">
        <v>8</v>
      </c>
      <c r="G365">
        <v>252.28</v>
      </c>
      <c r="H365">
        <v>2018.24</v>
      </c>
      <c r="I365" t="str">
        <f>TEXT(SalesData[[#This Row],[Order Date]],"mmm-yyyy")</f>
        <v>Apr-2025</v>
      </c>
    </row>
    <row r="366" spans="1:9" x14ac:dyDescent="0.3">
      <c r="A366" s="1">
        <v>45615</v>
      </c>
      <c r="B366" t="s">
        <v>12</v>
      </c>
      <c r="C366" t="s">
        <v>15</v>
      </c>
      <c r="D366" t="s">
        <v>16</v>
      </c>
      <c r="E366" t="s">
        <v>23</v>
      </c>
      <c r="F366">
        <v>5</v>
      </c>
      <c r="G366">
        <v>435.32</v>
      </c>
      <c r="H366">
        <v>2176.6</v>
      </c>
      <c r="I366" t="str">
        <f>TEXT(SalesData[[#This Row],[Order Date]],"mmm-yyyy")</f>
        <v>Nov-2024</v>
      </c>
    </row>
    <row r="367" spans="1:9" x14ac:dyDescent="0.3">
      <c r="A367" s="1">
        <v>45366</v>
      </c>
      <c r="B367" t="s">
        <v>14</v>
      </c>
      <c r="C367" t="s">
        <v>25</v>
      </c>
      <c r="D367" t="s">
        <v>16</v>
      </c>
      <c r="E367" t="s">
        <v>26</v>
      </c>
      <c r="F367">
        <v>4</v>
      </c>
      <c r="G367">
        <v>175.9</v>
      </c>
      <c r="H367">
        <v>703.6</v>
      </c>
      <c r="I367" t="str">
        <f>TEXT(SalesData[[#This Row],[Order Date]],"mmm-yyyy")</f>
        <v>Mar-2024</v>
      </c>
    </row>
    <row r="368" spans="1:9" x14ac:dyDescent="0.3">
      <c r="A368" s="1">
        <v>45301</v>
      </c>
      <c r="B368" t="s">
        <v>8</v>
      </c>
      <c r="C368" t="s">
        <v>22</v>
      </c>
      <c r="D368" t="s">
        <v>10</v>
      </c>
      <c r="E368" t="s">
        <v>28</v>
      </c>
      <c r="F368">
        <v>3</v>
      </c>
      <c r="G368">
        <v>76.459999999999994</v>
      </c>
      <c r="H368">
        <v>229.38</v>
      </c>
      <c r="I368" t="str">
        <f>TEXT(SalesData[[#This Row],[Order Date]],"mmm-yyyy")</f>
        <v>Jan-2024</v>
      </c>
    </row>
    <row r="369" spans="1:9" x14ac:dyDescent="0.3">
      <c r="A369" s="1">
        <v>45761</v>
      </c>
      <c r="B369" t="s">
        <v>14</v>
      </c>
      <c r="C369" t="s">
        <v>15</v>
      </c>
      <c r="D369" t="s">
        <v>16</v>
      </c>
      <c r="E369" t="s">
        <v>31</v>
      </c>
      <c r="F369">
        <v>8</v>
      </c>
      <c r="G369">
        <v>432.43</v>
      </c>
      <c r="H369">
        <v>3459.44</v>
      </c>
      <c r="I369" t="str">
        <f>TEXT(SalesData[[#This Row],[Order Date]],"mmm-yyyy")</f>
        <v>Apr-2025</v>
      </c>
    </row>
    <row r="370" spans="1:9" x14ac:dyDescent="0.3">
      <c r="A370" s="1">
        <v>45928</v>
      </c>
      <c r="B370" t="s">
        <v>20</v>
      </c>
      <c r="C370" t="s">
        <v>24</v>
      </c>
      <c r="D370" t="s">
        <v>19</v>
      </c>
      <c r="E370" t="s">
        <v>13</v>
      </c>
      <c r="F370">
        <v>8</v>
      </c>
      <c r="G370">
        <v>234.79</v>
      </c>
      <c r="H370">
        <v>1878.32</v>
      </c>
      <c r="I370" t="str">
        <f>TEXT(SalesData[[#This Row],[Order Date]],"mmm-yyyy")</f>
        <v>Sep-2025</v>
      </c>
    </row>
    <row r="371" spans="1:9" x14ac:dyDescent="0.3">
      <c r="A371" s="1">
        <v>45868</v>
      </c>
      <c r="B371" t="s">
        <v>14</v>
      </c>
      <c r="C371" t="s">
        <v>24</v>
      </c>
      <c r="D371" t="s">
        <v>19</v>
      </c>
      <c r="E371" t="s">
        <v>26</v>
      </c>
      <c r="F371">
        <v>1</v>
      </c>
      <c r="G371">
        <v>228.47</v>
      </c>
      <c r="H371">
        <v>228.47</v>
      </c>
      <c r="I371" t="str">
        <f>TEXT(SalesData[[#This Row],[Order Date]],"mmm-yyyy")</f>
        <v>Jul-2025</v>
      </c>
    </row>
    <row r="372" spans="1:9" x14ac:dyDescent="0.3">
      <c r="A372" s="1">
        <v>45394</v>
      </c>
      <c r="B372" t="s">
        <v>8</v>
      </c>
      <c r="C372" t="s">
        <v>21</v>
      </c>
      <c r="D372" t="s">
        <v>10</v>
      </c>
      <c r="E372" t="s">
        <v>13</v>
      </c>
      <c r="F372">
        <v>6</v>
      </c>
      <c r="G372">
        <v>41.41</v>
      </c>
      <c r="H372">
        <v>248.46</v>
      </c>
      <c r="I372" t="str">
        <f>TEXT(SalesData[[#This Row],[Order Date]],"mmm-yyyy")</f>
        <v>Apr-2024</v>
      </c>
    </row>
    <row r="373" spans="1:9" x14ac:dyDescent="0.3">
      <c r="A373" s="1">
        <v>45367</v>
      </c>
      <c r="B373" t="s">
        <v>12</v>
      </c>
      <c r="C373" t="s">
        <v>9</v>
      </c>
      <c r="D373" t="s">
        <v>10</v>
      </c>
      <c r="E373" t="s">
        <v>17</v>
      </c>
      <c r="F373">
        <v>8</v>
      </c>
      <c r="G373">
        <v>27.11</v>
      </c>
      <c r="H373">
        <v>216.88</v>
      </c>
      <c r="I373" t="str">
        <f>TEXT(SalesData[[#This Row],[Order Date]],"mmm-yyyy")</f>
        <v>Mar-2024</v>
      </c>
    </row>
    <row r="374" spans="1:9" x14ac:dyDescent="0.3">
      <c r="A374" s="1">
        <v>45842</v>
      </c>
      <c r="B374" t="s">
        <v>14</v>
      </c>
      <c r="C374" t="s">
        <v>18</v>
      </c>
      <c r="D374" t="s">
        <v>19</v>
      </c>
      <c r="E374" t="s">
        <v>11</v>
      </c>
      <c r="F374">
        <v>8</v>
      </c>
      <c r="G374">
        <v>827</v>
      </c>
      <c r="H374">
        <v>6616</v>
      </c>
      <c r="I374" t="str">
        <f>TEXT(SalesData[[#This Row],[Order Date]],"mmm-yyyy")</f>
        <v>Jul-2025</v>
      </c>
    </row>
    <row r="375" spans="1:9" x14ac:dyDescent="0.3">
      <c r="A375" s="1">
        <v>45510</v>
      </c>
      <c r="B375" t="s">
        <v>8</v>
      </c>
      <c r="C375" t="s">
        <v>22</v>
      </c>
      <c r="D375" t="s">
        <v>10</v>
      </c>
      <c r="E375" t="s">
        <v>23</v>
      </c>
      <c r="F375">
        <v>1</v>
      </c>
      <c r="G375">
        <v>72.56</v>
      </c>
      <c r="H375">
        <v>72.56</v>
      </c>
      <c r="I375" t="str">
        <f>TEXT(SalesData[[#This Row],[Order Date]],"mmm-yyyy")</f>
        <v>Aug-2024</v>
      </c>
    </row>
    <row r="376" spans="1:9" x14ac:dyDescent="0.3">
      <c r="A376" s="1">
        <v>45810</v>
      </c>
      <c r="B376" t="s">
        <v>20</v>
      </c>
      <c r="C376" t="s">
        <v>18</v>
      </c>
      <c r="D376" t="s">
        <v>19</v>
      </c>
      <c r="E376" t="s">
        <v>27</v>
      </c>
      <c r="F376">
        <v>7</v>
      </c>
      <c r="G376">
        <v>822.81</v>
      </c>
      <c r="H376">
        <v>5759.67</v>
      </c>
      <c r="I376" t="str">
        <f>TEXT(SalesData[[#This Row],[Order Date]],"mmm-yyyy")</f>
        <v>Jun-2025</v>
      </c>
    </row>
    <row r="377" spans="1:9" x14ac:dyDescent="0.3">
      <c r="A377" s="1">
        <v>45563</v>
      </c>
      <c r="B377" t="s">
        <v>12</v>
      </c>
      <c r="C377" t="s">
        <v>9</v>
      </c>
      <c r="D377" t="s">
        <v>10</v>
      </c>
      <c r="E377" t="s">
        <v>11</v>
      </c>
      <c r="F377">
        <v>2</v>
      </c>
      <c r="G377">
        <v>28.91</v>
      </c>
      <c r="H377">
        <v>57.82</v>
      </c>
      <c r="I377" t="str">
        <f>TEXT(SalesData[[#This Row],[Order Date]],"mmm-yyyy")</f>
        <v>Sep-2024</v>
      </c>
    </row>
    <row r="378" spans="1:9" x14ac:dyDescent="0.3">
      <c r="A378" s="1">
        <v>45427</v>
      </c>
      <c r="B378" t="s">
        <v>12</v>
      </c>
      <c r="C378" t="s">
        <v>25</v>
      </c>
      <c r="D378" t="s">
        <v>16</v>
      </c>
      <c r="E378" t="s">
        <v>13</v>
      </c>
      <c r="F378">
        <v>2</v>
      </c>
      <c r="G378">
        <v>192.42</v>
      </c>
      <c r="H378">
        <v>384.84</v>
      </c>
      <c r="I378" t="str">
        <f>TEXT(SalesData[[#This Row],[Order Date]],"mmm-yyyy")</f>
        <v>May-2024</v>
      </c>
    </row>
    <row r="379" spans="1:9" x14ac:dyDescent="0.3">
      <c r="A379" s="1">
        <v>45649</v>
      </c>
      <c r="B379" t="s">
        <v>20</v>
      </c>
      <c r="C379" t="s">
        <v>22</v>
      </c>
      <c r="D379" t="s">
        <v>10</v>
      </c>
      <c r="E379" t="s">
        <v>11</v>
      </c>
      <c r="F379">
        <v>1</v>
      </c>
      <c r="G379">
        <v>63.33</v>
      </c>
      <c r="H379">
        <v>63.33</v>
      </c>
      <c r="I379" t="str">
        <f>TEXT(SalesData[[#This Row],[Order Date]],"mmm-yyyy")</f>
        <v>Dec-2024</v>
      </c>
    </row>
    <row r="380" spans="1:9" x14ac:dyDescent="0.3">
      <c r="A380" s="1">
        <v>45362</v>
      </c>
      <c r="B380" t="s">
        <v>8</v>
      </c>
      <c r="C380" t="s">
        <v>21</v>
      </c>
      <c r="D380" t="s">
        <v>10</v>
      </c>
      <c r="E380" t="s">
        <v>28</v>
      </c>
      <c r="F380">
        <v>3</v>
      </c>
      <c r="G380">
        <v>47.83</v>
      </c>
      <c r="H380">
        <v>143.49</v>
      </c>
      <c r="I380" t="str">
        <f>TEXT(SalesData[[#This Row],[Order Date]],"mmm-yyyy")</f>
        <v>Mar-2024</v>
      </c>
    </row>
    <row r="381" spans="1:9" x14ac:dyDescent="0.3">
      <c r="A381" s="1">
        <v>45542</v>
      </c>
      <c r="B381" t="s">
        <v>8</v>
      </c>
      <c r="C381" t="s">
        <v>15</v>
      </c>
      <c r="D381" t="s">
        <v>16</v>
      </c>
      <c r="E381" t="s">
        <v>11</v>
      </c>
      <c r="F381">
        <v>8</v>
      </c>
      <c r="G381">
        <v>382.55</v>
      </c>
      <c r="H381">
        <v>3060.4</v>
      </c>
      <c r="I381" t="str">
        <f>TEXT(SalesData[[#This Row],[Order Date]],"mmm-yyyy")</f>
        <v>Sep-2024</v>
      </c>
    </row>
    <row r="382" spans="1:9" x14ac:dyDescent="0.3">
      <c r="A382" s="1">
        <v>45670</v>
      </c>
      <c r="B382" t="s">
        <v>20</v>
      </c>
      <c r="C382" t="s">
        <v>24</v>
      </c>
      <c r="D382" t="s">
        <v>19</v>
      </c>
      <c r="E382" t="s">
        <v>13</v>
      </c>
      <c r="F382">
        <v>3</v>
      </c>
      <c r="G382">
        <v>230.91</v>
      </c>
      <c r="H382">
        <v>692.73</v>
      </c>
      <c r="I382" t="str">
        <f>TEXT(SalesData[[#This Row],[Order Date]],"mmm-yyyy")</f>
        <v>Jan-2025</v>
      </c>
    </row>
    <row r="383" spans="1:9" x14ac:dyDescent="0.3">
      <c r="A383" s="1">
        <v>45583</v>
      </c>
      <c r="B383" t="s">
        <v>14</v>
      </c>
      <c r="C383" t="s">
        <v>21</v>
      </c>
      <c r="D383" t="s">
        <v>10</v>
      </c>
      <c r="E383" t="s">
        <v>31</v>
      </c>
      <c r="F383">
        <v>7</v>
      </c>
      <c r="G383">
        <v>46.77</v>
      </c>
      <c r="H383">
        <v>327.39</v>
      </c>
      <c r="I383" t="str">
        <f>TEXT(SalesData[[#This Row],[Order Date]],"mmm-yyyy")</f>
        <v>Oct-2024</v>
      </c>
    </row>
    <row r="384" spans="1:9" x14ac:dyDescent="0.3">
      <c r="A384" s="1">
        <v>45453</v>
      </c>
      <c r="B384" t="s">
        <v>20</v>
      </c>
      <c r="C384" t="s">
        <v>18</v>
      </c>
      <c r="D384" t="s">
        <v>19</v>
      </c>
      <c r="E384" t="s">
        <v>17</v>
      </c>
      <c r="F384">
        <v>1</v>
      </c>
      <c r="G384">
        <v>923.21</v>
      </c>
      <c r="H384">
        <v>923.21</v>
      </c>
      <c r="I384" t="str">
        <f>TEXT(SalesData[[#This Row],[Order Date]],"mmm-yyyy")</f>
        <v>Jun-2024</v>
      </c>
    </row>
    <row r="385" spans="1:9" x14ac:dyDescent="0.3">
      <c r="A385" s="1">
        <v>45740</v>
      </c>
      <c r="B385" t="s">
        <v>14</v>
      </c>
      <c r="C385" t="s">
        <v>15</v>
      </c>
      <c r="D385" t="s">
        <v>16</v>
      </c>
      <c r="E385" t="s">
        <v>31</v>
      </c>
      <c r="F385">
        <v>7</v>
      </c>
      <c r="G385">
        <v>430.2</v>
      </c>
      <c r="H385">
        <v>3011.4</v>
      </c>
      <c r="I385" t="str">
        <f>TEXT(SalesData[[#This Row],[Order Date]],"mmm-yyyy")</f>
        <v>Mar-2025</v>
      </c>
    </row>
    <row r="386" spans="1:9" x14ac:dyDescent="0.3">
      <c r="A386" s="1">
        <v>45848</v>
      </c>
      <c r="B386" t="s">
        <v>14</v>
      </c>
      <c r="C386" t="s">
        <v>22</v>
      </c>
      <c r="D386" t="s">
        <v>10</v>
      </c>
      <c r="E386" t="s">
        <v>23</v>
      </c>
      <c r="F386">
        <v>6</v>
      </c>
      <c r="G386">
        <v>73.290000000000006</v>
      </c>
      <c r="H386">
        <v>439.74</v>
      </c>
      <c r="I386" t="str">
        <f>TEXT(SalesData[[#This Row],[Order Date]],"mmm-yyyy")</f>
        <v>Jul-2025</v>
      </c>
    </row>
    <row r="387" spans="1:9" x14ac:dyDescent="0.3">
      <c r="A387" s="1">
        <v>46012</v>
      </c>
      <c r="B387" t="s">
        <v>12</v>
      </c>
      <c r="C387" t="s">
        <v>9</v>
      </c>
      <c r="D387" t="s">
        <v>10</v>
      </c>
      <c r="E387" t="s">
        <v>11</v>
      </c>
      <c r="F387">
        <v>2</v>
      </c>
      <c r="G387">
        <v>31.82</v>
      </c>
      <c r="H387">
        <v>63.64</v>
      </c>
      <c r="I387" t="str">
        <f>TEXT(SalesData[[#This Row],[Order Date]],"mmm-yyyy")</f>
        <v>Dec-2025</v>
      </c>
    </row>
    <row r="388" spans="1:9" x14ac:dyDescent="0.3">
      <c r="A388" s="1">
        <v>45601</v>
      </c>
      <c r="B388" t="s">
        <v>14</v>
      </c>
      <c r="C388" t="s">
        <v>18</v>
      </c>
      <c r="D388" t="s">
        <v>19</v>
      </c>
      <c r="E388" t="s">
        <v>13</v>
      </c>
      <c r="F388">
        <v>4</v>
      </c>
      <c r="G388">
        <v>860.77</v>
      </c>
      <c r="H388">
        <v>3443.08</v>
      </c>
      <c r="I388" t="str">
        <f>TEXT(SalesData[[#This Row],[Order Date]],"mmm-yyyy")</f>
        <v>Nov-2024</v>
      </c>
    </row>
    <row r="389" spans="1:9" x14ac:dyDescent="0.3">
      <c r="A389" s="1">
        <v>45918</v>
      </c>
      <c r="B389" t="s">
        <v>8</v>
      </c>
      <c r="C389" t="s">
        <v>24</v>
      </c>
      <c r="D389" t="s">
        <v>19</v>
      </c>
      <c r="E389" t="s">
        <v>27</v>
      </c>
      <c r="F389">
        <v>1</v>
      </c>
      <c r="G389">
        <v>233.87</v>
      </c>
      <c r="H389">
        <v>233.87</v>
      </c>
      <c r="I389" t="str">
        <f>TEXT(SalesData[[#This Row],[Order Date]],"mmm-yyyy")</f>
        <v>Sep-2025</v>
      </c>
    </row>
    <row r="390" spans="1:9" x14ac:dyDescent="0.3">
      <c r="A390" s="1">
        <v>45961</v>
      </c>
      <c r="B390" t="s">
        <v>8</v>
      </c>
      <c r="C390" t="s">
        <v>9</v>
      </c>
      <c r="D390" t="s">
        <v>10</v>
      </c>
      <c r="E390" t="s">
        <v>17</v>
      </c>
      <c r="F390">
        <v>1</v>
      </c>
      <c r="G390">
        <v>31.5</v>
      </c>
      <c r="H390">
        <v>31.5</v>
      </c>
      <c r="I390" t="str">
        <f>TEXT(SalesData[[#This Row],[Order Date]],"mmm-yyyy")</f>
        <v>Oct-2025</v>
      </c>
    </row>
    <row r="391" spans="1:9" x14ac:dyDescent="0.3">
      <c r="A391" s="1">
        <v>45833</v>
      </c>
      <c r="B391" t="s">
        <v>12</v>
      </c>
      <c r="C391" t="s">
        <v>9</v>
      </c>
      <c r="D391" t="s">
        <v>10</v>
      </c>
      <c r="E391" t="s">
        <v>26</v>
      </c>
      <c r="F391">
        <v>4</v>
      </c>
      <c r="G391">
        <v>31.84</v>
      </c>
      <c r="H391">
        <v>127.36</v>
      </c>
      <c r="I391" t="str">
        <f>TEXT(SalesData[[#This Row],[Order Date]],"mmm-yyyy")</f>
        <v>Jun-2025</v>
      </c>
    </row>
    <row r="392" spans="1:9" x14ac:dyDescent="0.3">
      <c r="A392" s="1">
        <v>45300</v>
      </c>
      <c r="B392" t="s">
        <v>20</v>
      </c>
      <c r="C392" t="s">
        <v>29</v>
      </c>
      <c r="D392" t="s">
        <v>30</v>
      </c>
      <c r="E392" t="s">
        <v>28</v>
      </c>
      <c r="F392">
        <v>4</v>
      </c>
      <c r="G392">
        <v>351.39</v>
      </c>
      <c r="H392">
        <v>1405.56</v>
      </c>
      <c r="I392" t="str">
        <f>TEXT(SalesData[[#This Row],[Order Date]],"mmm-yyyy")</f>
        <v>Jan-2024</v>
      </c>
    </row>
    <row r="393" spans="1:9" x14ac:dyDescent="0.3">
      <c r="A393" s="1">
        <v>45975</v>
      </c>
      <c r="B393" t="s">
        <v>14</v>
      </c>
      <c r="C393" t="s">
        <v>9</v>
      </c>
      <c r="D393" t="s">
        <v>10</v>
      </c>
      <c r="E393" t="s">
        <v>31</v>
      </c>
      <c r="F393">
        <v>5</v>
      </c>
      <c r="G393">
        <v>29.48</v>
      </c>
      <c r="H393">
        <v>147.4</v>
      </c>
      <c r="I393" t="str">
        <f>TEXT(SalesData[[#This Row],[Order Date]],"mmm-yyyy")</f>
        <v>Nov-2025</v>
      </c>
    </row>
    <row r="394" spans="1:9" x14ac:dyDescent="0.3">
      <c r="A394" s="1">
        <v>45859</v>
      </c>
      <c r="B394" t="s">
        <v>20</v>
      </c>
      <c r="C394" t="s">
        <v>15</v>
      </c>
      <c r="D394" t="s">
        <v>16</v>
      </c>
      <c r="E394" t="s">
        <v>27</v>
      </c>
      <c r="F394">
        <v>5</v>
      </c>
      <c r="G394">
        <v>389.76</v>
      </c>
      <c r="H394">
        <v>1948.8</v>
      </c>
      <c r="I394" t="str">
        <f>TEXT(SalesData[[#This Row],[Order Date]],"mmm-yyyy")</f>
        <v>Jul-2025</v>
      </c>
    </row>
    <row r="395" spans="1:9" x14ac:dyDescent="0.3">
      <c r="A395" s="1">
        <v>45598</v>
      </c>
      <c r="B395" t="s">
        <v>8</v>
      </c>
      <c r="C395" t="s">
        <v>21</v>
      </c>
      <c r="D395" t="s">
        <v>10</v>
      </c>
      <c r="E395" t="s">
        <v>27</v>
      </c>
      <c r="F395">
        <v>7</v>
      </c>
      <c r="G395">
        <v>47.49</v>
      </c>
      <c r="H395">
        <v>332.43</v>
      </c>
      <c r="I395" t="str">
        <f>TEXT(SalesData[[#This Row],[Order Date]],"mmm-yyyy")</f>
        <v>Nov-2024</v>
      </c>
    </row>
    <row r="396" spans="1:9" x14ac:dyDescent="0.3">
      <c r="A396" s="1">
        <v>45971</v>
      </c>
      <c r="B396" t="s">
        <v>20</v>
      </c>
      <c r="C396" t="s">
        <v>25</v>
      </c>
      <c r="D396" t="s">
        <v>16</v>
      </c>
      <c r="E396" t="s">
        <v>11</v>
      </c>
      <c r="F396">
        <v>7</v>
      </c>
      <c r="G396">
        <v>174.27</v>
      </c>
      <c r="H396">
        <v>1219.8900000000001</v>
      </c>
      <c r="I396" t="str">
        <f>TEXT(SalesData[[#This Row],[Order Date]],"mmm-yyyy")</f>
        <v>Nov-2025</v>
      </c>
    </row>
    <row r="397" spans="1:9" x14ac:dyDescent="0.3">
      <c r="A397" s="1">
        <v>45398</v>
      </c>
      <c r="B397" t="s">
        <v>20</v>
      </c>
      <c r="C397" t="s">
        <v>15</v>
      </c>
      <c r="D397" t="s">
        <v>16</v>
      </c>
      <c r="E397" t="s">
        <v>11</v>
      </c>
      <c r="F397">
        <v>3</v>
      </c>
      <c r="G397">
        <v>434.46</v>
      </c>
      <c r="H397">
        <v>1303.3800000000001</v>
      </c>
      <c r="I397" t="str">
        <f>TEXT(SalesData[[#This Row],[Order Date]],"mmm-yyyy")</f>
        <v>Apr-2024</v>
      </c>
    </row>
    <row r="398" spans="1:9" x14ac:dyDescent="0.3">
      <c r="A398" s="1">
        <v>45429</v>
      </c>
      <c r="B398" t="s">
        <v>14</v>
      </c>
      <c r="C398" t="s">
        <v>21</v>
      </c>
      <c r="D398" t="s">
        <v>10</v>
      </c>
      <c r="E398" t="s">
        <v>31</v>
      </c>
      <c r="F398">
        <v>8</v>
      </c>
      <c r="G398">
        <v>48.23</v>
      </c>
      <c r="H398">
        <v>385.84</v>
      </c>
      <c r="I398" t="str">
        <f>TEXT(SalesData[[#This Row],[Order Date]],"mmm-yyyy")</f>
        <v>May-2024</v>
      </c>
    </row>
    <row r="399" spans="1:9" x14ac:dyDescent="0.3">
      <c r="A399" s="1">
        <v>45562</v>
      </c>
      <c r="B399" t="s">
        <v>8</v>
      </c>
      <c r="C399" t="s">
        <v>29</v>
      </c>
      <c r="D399" t="s">
        <v>30</v>
      </c>
      <c r="E399" t="s">
        <v>27</v>
      </c>
      <c r="F399">
        <v>3</v>
      </c>
      <c r="G399">
        <v>315.45999999999998</v>
      </c>
      <c r="H399">
        <v>946.38</v>
      </c>
      <c r="I399" t="str">
        <f>TEXT(SalesData[[#This Row],[Order Date]],"mmm-yyyy")</f>
        <v>Sep-2024</v>
      </c>
    </row>
    <row r="400" spans="1:9" x14ac:dyDescent="0.3">
      <c r="A400" s="1">
        <v>45410</v>
      </c>
      <c r="B400" t="s">
        <v>14</v>
      </c>
      <c r="C400" t="s">
        <v>15</v>
      </c>
      <c r="D400" t="s">
        <v>16</v>
      </c>
      <c r="E400" t="s">
        <v>11</v>
      </c>
      <c r="F400">
        <v>7</v>
      </c>
      <c r="G400">
        <v>420.07</v>
      </c>
      <c r="H400">
        <v>2940.49</v>
      </c>
      <c r="I400" t="str">
        <f>TEXT(SalesData[[#This Row],[Order Date]],"mmm-yyyy")</f>
        <v>Apr-2024</v>
      </c>
    </row>
    <row r="401" spans="1:9" x14ac:dyDescent="0.3">
      <c r="A401" s="1">
        <v>45401</v>
      </c>
      <c r="B401" t="s">
        <v>14</v>
      </c>
      <c r="C401" t="s">
        <v>9</v>
      </c>
      <c r="D401" t="s">
        <v>10</v>
      </c>
      <c r="E401" t="s">
        <v>28</v>
      </c>
      <c r="F401">
        <v>5</v>
      </c>
      <c r="G401">
        <v>31.53</v>
      </c>
      <c r="H401">
        <v>157.65</v>
      </c>
      <c r="I401" t="str">
        <f>TEXT(SalesData[[#This Row],[Order Date]],"mmm-yyyy")</f>
        <v>Apr-2024</v>
      </c>
    </row>
    <row r="402" spans="1:9" x14ac:dyDescent="0.3">
      <c r="A402" s="1">
        <v>45858</v>
      </c>
      <c r="B402" t="s">
        <v>20</v>
      </c>
      <c r="C402" t="s">
        <v>24</v>
      </c>
      <c r="D402" t="s">
        <v>19</v>
      </c>
      <c r="E402" t="s">
        <v>13</v>
      </c>
      <c r="F402">
        <v>8</v>
      </c>
      <c r="G402">
        <v>230.16</v>
      </c>
      <c r="H402">
        <v>1841.28</v>
      </c>
      <c r="I402" t="str">
        <f>TEXT(SalesData[[#This Row],[Order Date]],"mmm-yyyy")</f>
        <v>Jul-2025</v>
      </c>
    </row>
    <row r="403" spans="1:9" x14ac:dyDescent="0.3">
      <c r="A403" s="1">
        <v>45451</v>
      </c>
      <c r="B403" t="s">
        <v>20</v>
      </c>
      <c r="C403" t="s">
        <v>9</v>
      </c>
      <c r="D403" t="s">
        <v>10</v>
      </c>
      <c r="E403" t="s">
        <v>11</v>
      </c>
      <c r="F403">
        <v>1</v>
      </c>
      <c r="G403">
        <v>32.42</v>
      </c>
      <c r="H403">
        <v>32.42</v>
      </c>
      <c r="I403" t="str">
        <f>TEXT(SalesData[[#This Row],[Order Date]],"mmm-yyyy")</f>
        <v>Jun-2024</v>
      </c>
    </row>
    <row r="404" spans="1:9" x14ac:dyDescent="0.3">
      <c r="A404" s="1">
        <v>45570</v>
      </c>
      <c r="B404" t="s">
        <v>14</v>
      </c>
      <c r="C404" t="s">
        <v>18</v>
      </c>
      <c r="D404" t="s">
        <v>19</v>
      </c>
      <c r="E404" t="s">
        <v>31</v>
      </c>
      <c r="F404">
        <v>2</v>
      </c>
      <c r="G404">
        <v>900.95</v>
      </c>
      <c r="H404">
        <v>1801.9</v>
      </c>
      <c r="I404" t="str">
        <f>TEXT(SalesData[[#This Row],[Order Date]],"mmm-yyyy")</f>
        <v>Oct-2024</v>
      </c>
    </row>
    <row r="405" spans="1:9" x14ac:dyDescent="0.3">
      <c r="A405" s="1">
        <v>45580</v>
      </c>
      <c r="B405" t="s">
        <v>20</v>
      </c>
      <c r="C405" t="s">
        <v>22</v>
      </c>
      <c r="D405" t="s">
        <v>10</v>
      </c>
      <c r="E405" t="s">
        <v>23</v>
      </c>
      <c r="F405">
        <v>4</v>
      </c>
      <c r="G405">
        <v>74.569999999999993</v>
      </c>
      <c r="H405">
        <v>298.27999999999997</v>
      </c>
      <c r="I405" t="str">
        <f>TEXT(SalesData[[#This Row],[Order Date]],"mmm-yyyy")</f>
        <v>Oct-2024</v>
      </c>
    </row>
    <row r="406" spans="1:9" x14ac:dyDescent="0.3">
      <c r="A406" s="1">
        <v>45911</v>
      </c>
      <c r="B406" t="s">
        <v>14</v>
      </c>
      <c r="C406" t="s">
        <v>18</v>
      </c>
      <c r="D406" t="s">
        <v>19</v>
      </c>
      <c r="E406" t="s">
        <v>13</v>
      </c>
      <c r="F406">
        <v>4</v>
      </c>
      <c r="G406">
        <v>867.61</v>
      </c>
      <c r="H406">
        <v>3470.44</v>
      </c>
      <c r="I406" t="str">
        <f>TEXT(SalesData[[#This Row],[Order Date]],"mmm-yyyy")</f>
        <v>Sep-2025</v>
      </c>
    </row>
    <row r="407" spans="1:9" x14ac:dyDescent="0.3">
      <c r="A407" s="1">
        <v>45507</v>
      </c>
      <c r="B407" t="s">
        <v>14</v>
      </c>
      <c r="C407" t="s">
        <v>22</v>
      </c>
      <c r="D407" t="s">
        <v>10</v>
      </c>
      <c r="E407" t="s">
        <v>11</v>
      </c>
      <c r="F407">
        <v>4</v>
      </c>
      <c r="G407">
        <v>75.540000000000006</v>
      </c>
      <c r="H407">
        <v>302.16000000000003</v>
      </c>
      <c r="I407" t="str">
        <f>TEXT(SalesData[[#This Row],[Order Date]],"mmm-yyyy")</f>
        <v>Aug-2024</v>
      </c>
    </row>
    <row r="408" spans="1:9" x14ac:dyDescent="0.3">
      <c r="A408" s="1">
        <v>45643</v>
      </c>
      <c r="B408" t="s">
        <v>20</v>
      </c>
      <c r="C408" t="s">
        <v>9</v>
      </c>
      <c r="D408" t="s">
        <v>10</v>
      </c>
      <c r="E408" t="s">
        <v>11</v>
      </c>
      <c r="F408">
        <v>6</v>
      </c>
      <c r="G408">
        <v>29.34</v>
      </c>
      <c r="H408">
        <v>176.04</v>
      </c>
      <c r="I408" t="str">
        <f>TEXT(SalesData[[#This Row],[Order Date]],"mmm-yyyy")</f>
        <v>Dec-2024</v>
      </c>
    </row>
    <row r="409" spans="1:9" x14ac:dyDescent="0.3">
      <c r="A409" s="1">
        <v>45500</v>
      </c>
      <c r="B409" t="s">
        <v>20</v>
      </c>
      <c r="C409" t="s">
        <v>22</v>
      </c>
      <c r="D409" t="s">
        <v>10</v>
      </c>
      <c r="E409" t="s">
        <v>23</v>
      </c>
      <c r="F409">
        <v>6</v>
      </c>
      <c r="G409">
        <v>63.15</v>
      </c>
      <c r="H409">
        <v>378.9</v>
      </c>
      <c r="I409" t="str">
        <f>TEXT(SalesData[[#This Row],[Order Date]],"mmm-yyyy")</f>
        <v>Jul-2024</v>
      </c>
    </row>
    <row r="410" spans="1:9" x14ac:dyDescent="0.3">
      <c r="A410" s="1">
        <v>45995</v>
      </c>
      <c r="B410" t="s">
        <v>8</v>
      </c>
      <c r="C410" t="s">
        <v>25</v>
      </c>
      <c r="D410" t="s">
        <v>16</v>
      </c>
      <c r="E410" t="s">
        <v>13</v>
      </c>
      <c r="F410">
        <v>8</v>
      </c>
      <c r="G410">
        <v>194.59</v>
      </c>
      <c r="H410">
        <v>1556.72</v>
      </c>
      <c r="I410" t="str">
        <f>TEXT(SalesData[[#This Row],[Order Date]],"mmm-yyyy")</f>
        <v>Dec-2025</v>
      </c>
    </row>
    <row r="411" spans="1:9" x14ac:dyDescent="0.3">
      <c r="A411" s="1">
        <v>45941</v>
      </c>
      <c r="B411" t="s">
        <v>14</v>
      </c>
      <c r="C411" t="s">
        <v>22</v>
      </c>
      <c r="D411" t="s">
        <v>10</v>
      </c>
      <c r="E411" t="s">
        <v>28</v>
      </c>
      <c r="F411">
        <v>6</v>
      </c>
      <c r="G411">
        <v>64.28</v>
      </c>
      <c r="H411">
        <v>385.68</v>
      </c>
      <c r="I411" t="str">
        <f>TEXT(SalesData[[#This Row],[Order Date]],"mmm-yyyy")</f>
        <v>Oct-2025</v>
      </c>
    </row>
    <row r="412" spans="1:9" x14ac:dyDescent="0.3">
      <c r="A412" s="1">
        <v>45562</v>
      </c>
      <c r="B412" t="s">
        <v>12</v>
      </c>
      <c r="C412" t="s">
        <v>25</v>
      </c>
      <c r="D412" t="s">
        <v>16</v>
      </c>
      <c r="E412" t="s">
        <v>31</v>
      </c>
      <c r="F412">
        <v>7</v>
      </c>
      <c r="G412">
        <v>173.5</v>
      </c>
      <c r="H412">
        <v>1214.5</v>
      </c>
      <c r="I412" t="str">
        <f>TEXT(SalesData[[#This Row],[Order Date]],"mmm-yyyy")</f>
        <v>Sep-2024</v>
      </c>
    </row>
    <row r="413" spans="1:9" x14ac:dyDescent="0.3">
      <c r="A413" s="1">
        <v>45809</v>
      </c>
      <c r="B413" t="s">
        <v>20</v>
      </c>
      <c r="C413" t="s">
        <v>21</v>
      </c>
      <c r="D413" t="s">
        <v>10</v>
      </c>
      <c r="E413" t="s">
        <v>11</v>
      </c>
      <c r="F413">
        <v>1</v>
      </c>
      <c r="G413">
        <v>49.05</v>
      </c>
      <c r="H413">
        <v>49.05</v>
      </c>
      <c r="I413" t="str">
        <f>TEXT(SalesData[[#This Row],[Order Date]],"mmm-yyyy")</f>
        <v>Jun-2025</v>
      </c>
    </row>
    <row r="414" spans="1:9" x14ac:dyDescent="0.3">
      <c r="A414" s="1">
        <v>45792</v>
      </c>
      <c r="B414" t="s">
        <v>14</v>
      </c>
      <c r="C414" t="s">
        <v>29</v>
      </c>
      <c r="D414" t="s">
        <v>30</v>
      </c>
      <c r="E414" t="s">
        <v>28</v>
      </c>
      <c r="F414">
        <v>3</v>
      </c>
      <c r="G414">
        <v>348.84</v>
      </c>
      <c r="H414">
        <v>1046.52</v>
      </c>
      <c r="I414" t="str">
        <f>TEXT(SalesData[[#This Row],[Order Date]],"mmm-yyyy")</f>
        <v>May-2025</v>
      </c>
    </row>
    <row r="415" spans="1:9" x14ac:dyDescent="0.3">
      <c r="A415" s="1">
        <v>45549</v>
      </c>
      <c r="B415" t="s">
        <v>14</v>
      </c>
      <c r="C415" t="s">
        <v>9</v>
      </c>
      <c r="D415" t="s">
        <v>10</v>
      </c>
      <c r="E415" t="s">
        <v>17</v>
      </c>
      <c r="F415">
        <v>7</v>
      </c>
      <c r="G415">
        <v>30.44</v>
      </c>
      <c r="H415">
        <v>213.08</v>
      </c>
      <c r="I415" t="str">
        <f>TEXT(SalesData[[#This Row],[Order Date]],"mmm-yyyy")</f>
        <v>Sep-2024</v>
      </c>
    </row>
    <row r="416" spans="1:9" x14ac:dyDescent="0.3">
      <c r="A416" s="1">
        <v>45344</v>
      </c>
      <c r="B416" t="s">
        <v>8</v>
      </c>
      <c r="C416" t="s">
        <v>25</v>
      </c>
      <c r="D416" t="s">
        <v>16</v>
      </c>
      <c r="E416" t="s">
        <v>17</v>
      </c>
      <c r="F416">
        <v>5</v>
      </c>
      <c r="G416">
        <v>184.75</v>
      </c>
      <c r="H416">
        <v>923.75</v>
      </c>
      <c r="I416" t="str">
        <f>TEXT(SalesData[[#This Row],[Order Date]],"mmm-yyyy")</f>
        <v>Feb-2024</v>
      </c>
    </row>
    <row r="417" spans="1:9" x14ac:dyDescent="0.3">
      <c r="A417" s="1">
        <v>45386</v>
      </c>
      <c r="B417" t="s">
        <v>20</v>
      </c>
      <c r="C417" t="s">
        <v>22</v>
      </c>
      <c r="D417" t="s">
        <v>10</v>
      </c>
      <c r="E417" t="s">
        <v>26</v>
      </c>
      <c r="F417">
        <v>3</v>
      </c>
      <c r="G417">
        <v>69.28</v>
      </c>
      <c r="H417">
        <v>207.84</v>
      </c>
      <c r="I417" t="str">
        <f>TEXT(SalesData[[#This Row],[Order Date]],"mmm-yyyy")</f>
        <v>Apr-2024</v>
      </c>
    </row>
    <row r="418" spans="1:9" x14ac:dyDescent="0.3">
      <c r="A418" s="1">
        <v>45941</v>
      </c>
      <c r="B418" t="s">
        <v>14</v>
      </c>
      <c r="C418" t="s">
        <v>21</v>
      </c>
      <c r="D418" t="s">
        <v>10</v>
      </c>
      <c r="E418" t="s">
        <v>27</v>
      </c>
      <c r="F418">
        <v>8</v>
      </c>
      <c r="G418">
        <v>43.14</v>
      </c>
      <c r="H418">
        <v>345.12</v>
      </c>
      <c r="I418" t="str">
        <f>TEXT(SalesData[[#This Row],[Order Date]],"mmm-yyyy")</f>
        <v>Oct-2025</v>
      </c>
    </row>
    <row r="419" spans="1:9" x14ac:dyDescent="0.3">
      <c r="A419" s="1">
        <v>45725</v>
      </c>
      <c r="B419" t="s">
        <v>12</v>
      </c>
      <c r="C419" t="s">
        <v>18</v>
      </c>
      <c r="D419" t="s">
        <v>19</v>
      </c>
      <c r="E419" t="s">
        <v>27</v>
      </c>
      <c r="F419">
        <v>2</v>
      </c>
      <c r="G419">
        <v>869.16</v>
      </c>
      <c r="H419">
        <v>1738.32</v>
      </c>
      <c r="I419" t="str">
        <f>TEXT(SalesData[[#This Row],[Order Date]],"mmm-yyyy")</f>
        <v>Mar-2025</v>
      </c>
    </row>
    <row r="420" spans="1:9" x14ac:dyDescent="0.3">
      <c r="A420" s="1">
        <v>45575</v>
      </c>
      <c r="B420" t="s">
        <v>14</v>
      </c>
      <c r="C420" t="s">
        <v>15</v>
      </c>
      <c r="D420" t="s">
        <v>16</v>
      </c>
      <c r="E420" t="s">
        <v>13</v>
      </c>
      <c r="F420">
        <v>3</v>
      </c>
      <c r="G420">
        <v>413.8</v>
      </c>
      <c r="H420">
        <v>1241.4000000000001</v>
      </c>
      <c r="I420" t="str">
        <f>TEXT(SalesData[[#This Row],[Order Date]],"mmm-yyyy")</f>
        <v>Oct-2024</v>
      </c>
    </row>
    <row r="421" spans="1:9" x14ac:dyDescent="0.3">
      <c r="A421" s="1">
        <v>45337</v>
      </c>
      <c r="B421" t="s">
        <v>14</v>
      </c>
      <c r="C421" t="s">
        <v>21</v>
      </c>
      <c r="D421" t="s">
        <v>10</v>
      </c>
      <c r="E421" t="s">
        <v>17</v>
      </c>
      <c r="F421">
        <v>1</v>
      </c>
      <c r="G421">
        <v>47.27</v>
      </c>
      <c r="H421">
        <v>47.27</v>
      </c>
      <c r="I421" t="str">
        <f>TEXT(SalesData[[#This Row],[Order Date]],"mmm-yyyy")</f>
        <v>Feb-2024</v>
      </c>
    </row>
    <row r="422" spans="1:9" x14ac:dyDescent="0.3">
      <c r="A422" s="1">
        <v>45295</v>
      </c>
      <c r="B422" t="s">
        <v>8</v>
      </c>
      <c r="C422" t="s">
        <v>25</v>
      </c>
      <c r="D422" t="s">
        <v>16</v>
      </c>
      <c r="E422" t="s">
        <v>17</v>
      </c>
      <c r="F422">
        <v>1</v>
      </c>
      <c r="G422">
        <v>190.5</v>
      </c>
      <c r="H422">
        <v>190.5</v>
      </c>
      <c r="I422" t="str">
        <f>TEXT(SalesData[[#This Row],[Order Date]],"mmm-yyyy")</f>
        <v>Jan-2024</v>
      </c>
    </row>
    <row r="423" spans="1:9" x14ac:dyDescent="0.3">
      <c r="A423" s="1">
        <v>45633</v>
      </c>
      <c r="B423" t="s">
        <v>8</v>
      </c>
      <c r="C423" t="s">
        <v>18</v>
      </c>
      <c r="D423" t="s">
        <v>19</v>
      </c>
      <c r="E423" t="s">
        <v>27</v>
      </c>
      <c r="F423">
        <v>1</v>
      </c>
      <c r="G423">
        <v>952.13</v>
      </c>
      <c r="H423">
        <v>952.13</v>
      </c>
      <c r="I423" t="str">
        <f>TEXT(SalesData[[#This Row],[Order Date]],"mmm-yyyy")</f>
        <v>Dec-2024</v>
      </c>
    </row>
    <row r="424" spans="1:9" x14ac:dyDescent="0.3">
      <c r="A424" s="1">
        <v>45425</v>
      </c>
      <c r="B424" t="s">
        <v>20</v>
      </c>
      <c r="C424" t="s">
        <v>18</v>
      </c>
      <c r="D424" t="s">
        <v>19</v>
      </c>
      <c r="E424" t="s">
        <v>27</v>
      </c>
      <c r="F424">
        <v>5</v>
      </c>
      <c r="G424">
        <v>826.42</v>
      </c>
      <c r="H424">
        <v>4132.1000000000004</v>
      </c>
      <c r="I424" t="str">
        <f>TEXT(SalesData[[#This Row],[Order Date]],"mmm-yyyy")</f>
        <v>May-2024</v>
      </c>
    </row>
    <row r="425" spans="1:9" x14ac:dyDescent="0.3">
      <c r="A425" s="1">
        <v>45944</v>
      </c>
      <c r="B425" t="s">
        <v>12</v>
      </c>
      <c r="C425" t="s">
        <v>15</v>
      </c>
      <c r="D425" t="s">
        <v>16</v>
      </c>
      <c r="E425" t="s">
        <v>13</v>
      </c>
      <c r="F425">
        <v>3</v>
      </c>
      <c r="G425">
        <v>399.55</v>
      </c>
      <c r="H425">
        <v>1198.6500000000001</v>
      </c>
      <c r="I425" t="str">
        <f>TEXT(SalesData[[#This Row],[Order Date]],"mmm-yyyy")</f>
        <v>Oct-2025</v>
      </c>
    </row>
    <row r="426" spans="1:9" x14ac:dyDescent="0.3">
      <c r="A426" s="1">
        <v>45560</v>
      </c>
      <c r="B426" t="s">
        <v>14</v>
      </c>
      <c r="C426" t="s">
        <v>21</v>
      </c>
      <c r="D426" t="s">
        <v>10</v>
      </c>
      <c r="E426" t="s">
        <v>23</v>
      </c>
      <c r="F426">
        <v>4</v>
      </c>
      <c r="G426">
        <v>41.02</v>
      </c>
      <c r="H426">
        <v>164.08</v>
      </c>
      <c r="I426" t="str">
        <f>TEXT(SalesData[[#This Row],[Order Date]],"mmm-yyyy")</f>
        <v>Sep-2024</v>
      </c>
    </row>
    <row r="427" spans="1:9" x14ac:dyDescent="0.3">
      <c r="A427" s="1">
        <v>45457</v>
      </c>
      <c r="B427" t="s">
        <v>8</v>
      </c>
      <c r="C427" t="s">
        <v>25</v>
      </c>
      <c r="D427" t="s">
        <v>16</v>
      </c>
      <c r="E427" t="s">
        <v>13</v>
      </c>
      <c r="F427">
        <v>5</v>
      </c>
      <c r="G427">
        <v>181.78</v>
      </c>
      <c r="H427">
        <v>908.9</v>
      </c>
      <c r="I427" t="str">
        <f>TEXT(SalesData[[#This Row],[Order Date]],"mmm-yyyy")</f>
        <v>Jun-2024</v>
      </c>
    </row>
    <row r="428" spans="1:9" x14ac:dyDescent="0.3">
      <c r="A428" s="1">
        <v>45744</v>
      </c>
      <c r="B428" t="s">
        <v>8</v>
      </c>
      <c r="C428" t="s">
        <v>25</v>
      </c>
      <c r="D428" t="s">
        <v>16</v>
      </c>
      <c r="E428" t="s">
        <v>31</v>
      </c>
      <c r="F428">
        <v>7</v>
      </c>
      <c r="G428">
        <v>177.9</v>
      </c>
      <c r="H428">
        <v>1245.3</v>
      </c>
      <c r="I428" t="str">
        <f>TEXT(SalesData[[#This Row],[Order Date]],"mmm-yyyy")</f>
        <v>Mar-2025</v>
      </c>
    </row>
    <row r="429" spans="1:9" x14ac:dyDescent="0.3">
      <c r="A429" s="1">
        <v>45856</v>
      </c>
      <c r="B429" t="s">
        <v>12</v>
      </c>
      <c r="C429" t="s">
        <v>9</v>
      </c>
      <c r="D429" t="s">
        <v>10</v>
      </c>
      <c r="E429" t="s">
        <v>27</v>
      </c>
      <c r="F429">
        <v>5</v>
      </c>
      <c r="G429">
        <v>32.33</v>
      </c>
      <c r="H429">
        <v>161.65</v>
      </c>
      <c r="I429" t="str">
        <f>TEXT(SalesData[[#This Row],[Order Date]],"mmm-yyyy")</f>
        <v>Jul-2025</v>
      </c>
    </row>
    <row r="430" spans="1:9" x14ac:dyDescent="0.3">
      <c r="A430" s="1">
        <v>46014</v>
      </c>
      <c r="B430" t="s">
        <v>8</v>
      </c>
      <c r="C430" t="s">
        <v>24</v>
      </c>
      <c r="D430" t="s">
        <v>19</v>
      </c>
      <c r="E430" t="s">
        <v>11</v>
      </c>
      <c r="F430">
        <v>7</v>
      </c>
      <c r="G430">
        <v>242.55</v>
      </c>
      <c r="H430">
        <v>1697.85</v>
      </c>
      <c r="I430" t="str">
        <f>TEXT(SalesData[[#This Row],[Order Date]],"mmm-yyyy")</f>
        <v>Dec-2025</v>
      </c>
    </row>
    <row r="431" spans="1:9" x14ac:dyDescent="0.3">
      <c r="A431" s="1">
        <v>45729</v>
      </c>
      <c r="B431" t="s">
        <v>12</v>
      </c>
      <c r="C431" t="s">
        <v>22</v>
      </c>
      <c r="D431" t="s">
        <v>10</v>
      </c>
      <c r="E431" t="s">
        <v>26</v>
      </c>
      <c r="F431">
        <v>1</v>
      </c>
      <c r="G431">
        <v>64.64</v>
      </c>
      <c r="H431">
        <v>64.64</v>
      </c>
      <c r="I431" t="str">
        <f>TEXT(SalesData[[#This Row],[Order Date]],"mmm-yyyy")</f>
        <v>Mar-2025</v>
      </c>
    </row>
    <row r="432" spans="1:9" x14ac:dyDescent="0.3">
      <c r="A432" s="1">
        <v>45866</v>
      </c>
      <c r="B432" t="s">
        <v>8</v>
      </c>
      <c r="C432" t="s">
        <v>24</v>
      </c>
      <c r="D432" t="s">
        <v>19</v>
      </c>
      <c r="E432" t="s">
        <v>28</v>
      </c>
      <c r="F432">
        <v>8</v>
      </c>
      <c r="G432">
        <v>232.15</v>
      </c>
      <c r="H432">
        <v>1857.2</v>
      </c>
      <c r="I432" t="str">
        <f>TEXT(SalesData[[#This Row],[Order Date]],"mmm-yyyy")</f>
        <v>Jul-2025</v>
      </c>
    </row>
    <row r="433" spans="1:9" x14ac:dyDescent="0.3">
      <c r="A433" s="1">
        <v>45301</v>
      </c>
      <c r="B433" t="s">
        <v>14</v>
      </c>
      <c r="C433" t="s">
        <v>24</v>
      </c>
      <c r="D433" t="s">
        <v>19</v>
      </c>
      <c r="E433" t="s">
        <v>31</v>
      </c>
      <c r="F433">
        <v>1</v>
      </c>
      <c r="G433">
        <v>263.08</v>
      </c>
      <c r="H433">
        <v>263.08</v>
      </c>
      <c r="I433" t="str">
        <f>TEXT(SalesData[[#This Row],[Order Date]],"mmm-yyyy")</f>
        <v>Jan-2024</v>
      </c>
    </row>
    <row r="434" spans="1:9" x14ac:dyDescent="0.3">
      <c r="A434" s="1">
        <v>45406</v>
      </c>
      <c r="B434" t="s">
        <v>12</v>
      </c>
      <c r="C434" t="s">
        <v>22</v>
      </c>
      <c r="D434" t="s">
        <v>10</v>
      </c>
      <c r="E434" t="s">
        <v>13</v>
      </c>
      <c r="F434">
        <v>5</v>
      </c>
      <c r="G434">
        <v>71.66</v>
      </c>
      <c r="H434">
        <v>358.3</v>
      </c>
      <c r="I434" t="str">
        <f>TEXT(SalesData[[#This Row],[Order Date]],"mmm-yyyy")</f>
        <v>Apr-2024</v>
      </c>
    </row>
    <row r="435" spans="1:9" x14ac:dyDescent="0.3">
      <c r="A435" s="1">
        <v>45369</v>
      </c>
      <c r="B435" t="s">
        <v>14</v>
      </c>
      <c r="C435" t="s">
        <v>29</v>
      </c>
      <c r="D435" t="s">
        <v>30</v>
      </c>
      <c r="E435" t="s">
        <v>28</v>
      </c>
      <c r="F435">
        <v>1</v>
      </c>
      <c r="G435">
        <v>294.47000000000003</v>
      </c>
      <c r="H435">
        <v>294.47000000000003</v>
      </c>
      <c r="I435" t="str">
        <f>TEXT(SalesData[[#This Row],[Order Date]],"mmm-yyyy")</f>
        <v>Mar-2024</v>
      </c>
    </row>
    <row r="436" spans="1:9" x14ac:dyDescent="0.3">
      <c r="A436" s="1">
        <v>45999</v>
      </c>
      <c r="B436" t="s">
        <v>14</v>
      </c>
      <c r="C436" t="s">
        <v>18</v>
      </c>
      <c r="D436" t="s">
        <v>19</v>
      </c>
      <c r="E436" t="s">
        <v>11</v>
      </c>
      <c r="F436">
        <v>4</v>
      </c>
      <c r="G436">
        <v>825.14</v>
      </c>
      <c r="H436">
        <v>3300.56</v>
      </c>
      <c r="I436" t="str">
        <f>TEXT(SalesData[[#This Row],[Order Date]],"mmm-yyyy")</f>
        <v>Dec-2025</v>
      </c>
    </row>
    <row r="437" spans="1:9" x14ac:dyDescent="0.3">
      <c r="A437" s="1">
        <v>45444</v>
      </c>
      <c r="B437" t="s">
        <v>14</v>
      </c>
      <c r="C437" t="s">
        <v>24</v>
      </c>
      <c r="D437" t="s">
        <v>19</v>
      </c>
      <c r="E437" t="s">
        <v>31</v>
      </c>
      <c r="F437">
        <v>5</v>
      </c>
      <c r="G437">
        <v>260.05</v>
      </c>
      <c r="H437">
        <v>1300.25</v>
      </c>
      <c r="I437" t="str">
        <f>TEXT(SalesData[[#This Row],[Order Date]],"mmm-yyyy")</f>
        <v>Jun-2024</v>
      </c>
    </row>
    <row r="438" spans="1:9" x14ac:dyDescent="0.3">
      <c r="A438" s="1">
        <v>45850</v>
      </c>
      <c r="B438" t="s">
        <v>8</v>
      </c>
      <c r="C438" t="s">
        <v>15</v>
      </c>
      <c r="D438" t="s">
        <v>16</v>
      </c>
      <c r="E438" t="s">
        <v>26</v>
      </c>
      <c r="F438">
        <v>6</v>
      </c>
      <c r="G438">
        <v>365.82</v>
      </c>
      <c r="H438">
        <v>2194.92</v>
      </c>
      <c r="I438" t="str">
        <f>TEXT(SalesData[[#This Row],[Order Date]],"mmm-yyyy")</f>
        <v>Jul-2025</v>
      </c>
    </row>
    <row r="439" spans="1:9" x14ac:dyDescent="0.3">
      <c r="A439" s="1">
        <v>45328</v>
      </c>
      <c r="B439" t="s">
        <v>12</v>
      </c>
      <c r="C439" t="s">
        <v>24</v>
      </c>
      <c r="D439" t="s">
        <v>19</v>
      </c>
      <c r="E439" t="s">
        <v>13</v>
      </c>
      <c r="F439">
        <v>6</v>
      </c>
      <c r="G439">
        <v>266.08999999999997</v>
      </c>
      <c r="H439">
        <v>1596.54</v>
      </c>
      <c r="I439" t="str">
        <f>TEXT(SalesData[[#This Row],[Order Date]],"mmm-yyyy")</f>
        <v>Feb-2024</v>
      </c>
    </row>
    <row r="440" spans="1:9" x14ac:dyDescent="0.3">
      <c r="A440" s="1">
        <v>45670</v>
      </c>
      <c r="B440" t="s">
        <v>12</v>
      </c>
      <c r="C440" t="s">
        <v>15</v>
      </c>
      <c r="D440" t="s">
        <v>16</v>
      </c>
      <c r="E440" t="s">
        <v>28</v>
      </c>
      <c r="F440">
        <v>4</v>
      </c>
      <c r="G440">
        <v>416.5</v>
      </c>
      <c r="H440">
        <v>1666</v>
      </c>
      <c r="I440" t="str">
        <f>TEXT(SalesData[[#This Row],[Order Date]],"mmm-yyyy")</f>
        <v>Jan-2025</v>
      </c>
    </row>
    <row r="441" spans="1:9" x14ac:dyDescent="0.3">
      <c r="A441" s="1">
        <v>45888</v>
      </c>
      <c r="B441" t="s">
        <v>12</v>
      </c>
      <c r="C441" t="s">
        <v>15</v>
      </c>
      <c r="D441" t="s">
        <v>16</v>
      </c>
      <c r="E441" t="s">
        <v>23</v>
      </c>
      <c r="F441">
        <v>6</v>
      </c>
      <c r="G441">
        <v>366.51</v>
      </c>
      <c r="H441">
        <v>2199.06</v>
      </c>
      <c r="I441" t="str">
        <f>TEXT(SalesData[[#This Row],[Order Date]],"mmm-yyyy")</f>
        <v>Aug-2025</v>
      </c>
    </row>
    <row r="442" spans="1:9" x14ac:dyDescent="0.3">
      <c r="A442" s="1">
        <v>45857</v>
      </c>
      <c r="B442" t="s">
        <v>14</v>
      </c>
      <c r="C442" t="s">
        <v>22</v>
      </c>
      <c r="D442" t="s">
        <v>10</v>
      </c>
      <c r="E442" t="s">
        <v>28</v>
      </c>
      <c r="F442">
        <v>8</v>
      </c>
      <c r="G442">
        <v>64.19</v>
      </c>
      <c r="H442">
        <v>513.52</v>
      </c>
      <c r="I442" t="str">
        <f>TEXT(SalesData[[#This Row],[Order Date]],"mmm-yyyy")</f>
        <v>Jul-2025</v>
      </c>
    </row>
    <row r="443" spans="1:9" x14ac:dyDescent="0.3">
      <c r="A443" s="1">
        <v>45443</v>
      </c>
      <c r="B443" t="s">
        <v>14</v>
      </c>
      <c r="C443" t="s">
        <v>15</v>
      </c>
      <c r="D443" t="s">
        <v>16</v>
      </c>
      <c r="E443" t="s">
        <v>11</v>
      </c>
      <c r="F443">
        <v>7</v>
      </c>
      <c r="G443">
        <v>438.93</v>
      </c>
      <c r="H443">
        <v>3072.51</v>
      </c>
      <c r="I443" t="str">
        <f>TEXT(SalesData[[#This Row],[Order Date]],"mmm-yyyy")</f>
        <v>May-2024</v>
      </c>
    </row>
    <row r="444" spans="1:9" x14ac:dyDescent="0.3">
      <c r="A444" s="1">
        <v>45732</v>
      </c>
      <c r="B444" t="s">
        <v>14</v>
      </c>
      <c r="C444" t="s">
        <v>24</v>
      </c>
      <c r="D444" t="s">
        <v>19</v>
      </c>
      <c r="E444" t="s">
        <v>13</v>
      </c>
      <c r="F444">
        <v>5</v>
      </c>
      <c r="G444">
        <v>243.71</v>
      </c>
      <c r="H444">
        <v>1218.55</v>
      </c>
      <c r="I444" t="str">
        <f>TEXT(SalesData[[#This Row],[Order Date]],"mmm-yyyy")</f>
        <v>Mar-2025</v>
      </c>
    </row>
    <row r="445" spans="1:9" x14ac:dyDescent="0.3">
      <c r="A445" s="1">
        <v>45422</v>
      </c>
      <c r="B445" t="s">
        <v>14</v>
      </c>
      <c r="C445" t="s">
        <v>24</v>
      </c>
      <c r="D445" t="s">
        <v>19</v>
      </c>
      <c r="E445" t="s">
        <v>11</v>
      </c>
      <c r="F445">
        <v>5</v>
      </c>
      <c r="G445">
        <v>243.53</v>
      </c>
      <c r="H445">
        <v>1217.6500000000001</v>
      </c>
      <c r="I445" t="str">
        <f>TEXT(SalesData[[#This Row],[Order Date]],"mmm-yyyy")</f>
        <v>May-2024</v>
      </c>
    </row>
    <row r="446" spans="1:9" x14ac:dyDescent="0.3">
      <c r="A446" s="1">
        <v>45334</v>
      </c>
      <c r="B446" t="s">
        <v>20</v>
      </c>
      <c r="C446" t="s">
        <v>21</v>
      </c>
      <c r="D446" t="s">
        <v>10</v>
      </c>
      <c r="E446" t="s">
        <v>28</v>
      </c>
      <c r="F446">
        <v>7</v>
      </c>
      <c r="G446">
        <v>47.82</v>
      </c>
      <c r="H446">
        <v>334.74</v>
      </c>
      <c r="I446" t="str">
        <f>TEXT(SalesData[[#This Row],[Order Date]],"mmm-yyyy")</f>
        <v>Feb-2024</v>
      </c>
    </row>
    <row r="447" spans="1:9" x14ac:dyDescent="0.3">
      <c r="A447" s="1">
        <v>45607</v>
      </c>
      <c r="B447" t="s">
        <v>12</v>
      </c>
      <c r="C447" t="s">
        <v>24</v>
      </c>
      <c r="D447" t="s">
        <v>19</v>
      </c>
      <c r="E447" t="s">
        <v>23</v>
      </c>
      <c r="F447">
        <v>2</v>
      </c>
      <c r="G447">
        <v>272.36</v>
      </c>
      <c r="H447">
        <v>544.72</v>
      </c>
      <c r="I447" t="str">
        <f>TEXT(SalesData[[#This Row],[Order Date]],"mmm-yyyy")</f>
        <v>Nov-2024</v>
      </c>
    </row>
    <row r="448" spans="1:9" x14ac:dyDescent="0.3">
      <c r="A448" s="1">
        <v>45665</v>
      </c>
      <c r="B448" t="s">
        <v>20</v>
      </c>
      <c r="C448" t="s">
        <v>22</v>
      </c>
      <c r="D448" t="s">
        <v>10</v>
      </c>
      <c r="E448" t="s">
        <v>13</v>
      </c>
      <c r="F448">
        <v>6</v>
      </c>
      <c r="G448">
        <v>76.8</v>
      </c>
      <c r="H448">
        <v>460.8</v>
      </c>
      <c r="I448" t="str">
        <f>TEXT(SalesData[[#This Row],[Order Date]],"mmm-yyyy")</f>
        <v>Jan-2025</v>
      </c>
    </row>
    <row r="449" spans="1:9" x14ac:dyDescent="0.3">
      <c r="A449" s="1">
        <v>45332</v>
      </c>
      <c r="B449" t="s">
        <v>14</v>
      </c>
      <c r="C449" t="s">
        <v>21</v>
      </c>
      <c r="D449" t="s">
        <v>10</v>
      </c>
      <c r="E449" t="s">
        <v>11</v>
      </c>
      <c r="F449">
        <v>2</v>
      </c>
      <c r="G449">
        <v>47.28</v>
      </c>
      <c r="H449">
        <v>94.56</v>
      </c>
      <c r="I449" t="str">
        <f>TEXT(SalesData[[#This Row],[Order Date]],"mmm-yyyy")</f>
        <v>Feb-2024</v>
      </c>
    </row>
    <row r="450" spans="1:9" x14ac:dyDescent="0.3">
      <c r="A450" s="1">
        <v>45658</v>
      </c>
      <c r="B450" t="s">
        <v>12</v>
      </c>
      <c r="C450" t="s">
        <v>22</v>
      </c>
      <c r="D450" t="s">
        <v>10</v>
      </c>
      <c r="E450" t="s">
        <v>27</v>
      </c>
      <c r="F450">
        <v>7</v>
      </c>
      <c r="G450">
        <v>68.27</v>
      </c>
      <c r="H450">
        <v>477.89</v>
      </c>
      <c r="I450" t="str">
        <f>TEXT(SalesData[[#This Row],[Order Date]],"mmm-yyyy")</f>
        <v>Jan-2025</v>
      </c>
    </row>
    <row r="451" spans="1:9" x14ac:dyDescent="0.3">
      <c r="A451" s="1">
        <v>45507</v>
      </c>
      <c r="B451" t="s">
        <v>12</v>
      </c>
      <c r="C451" t="s">
        <v>24</v>
      </c>
      <c r="D451" t="s">
        <v>19</v>
      </c>
      <c r="E451" t="s">
        <v>28</v>
      </c>
      <c r="F451">
        <v>6</v>
      </c>
      <c r="G451">
        <v>229.18</v>
      </c>
      <c r="H451">
        <v>1375.08</v>
      </c>
      <c r="I451" t="str">
        <f>TEXT(SalesData[[#This Row],[Order Date]],"mmm-yyyy")</f>
        <v>Aug-2024</v>
      </c>
    </row>
    <row r="452" spans="1:9" x14ac:dyDescent="0.3">
      <c r="A452" s="1">
        <v>45990</v>
      </c>
      <c r="B452" t="s">
        <v>20</v>
      </c>
      <c r="C452" t="s">
        <v>15</v>
      </c>
      <c r="D452" t="s">
        <v>16</v>
      </c>
      <c r="E452" t="s">
        <v>11</v>
      </c>
      <c r="F452">
        <v>1</v>
      </c>
      <c r="G452">
        <v>422.17</v>
      </c>
      <c r="H452">
        <v>422.17</v>
      </c>
      <c r="I452" t="str">
        <f>TEXT(SalesData[[#This Row],[Order Date]],"mmm-yyyy")</f>
        <v>Nov-2025</v>
      </c>
    </row>
    <row r="453" spans="1:9" x14ac:dyDescent="0.3">
      <c r="A453" s="1">
        <v>45547</v>
      </c>
      <c r="B453" t="s">
        <v>14</v>
      </c>
      <c r="C453" t="s">
        <v>15</v>
      </c>
      <c r="D453" t="s">
        <v>16</v>
      </c>
      <c r="E453" t="s">
        <v>26</v>
      </c>
      <c r="F453">
        <v>2</v>
      </c>
      <c r="G453">
        <v>404.67</v>
      </c>
      <c r="H453">
        <v>809.34</v>
      </c>
      <c r="I453" t="str">
        <f>TEXT(SalesData[[#This Row],[Order Date]],"mmm-yyyy")</f>
        <v>Sep-2024</v>
      </c>
    </row>
    <row r="454" spans="1:9" x14ac:dyDescent="0.3">
      <c r="A454" s="1">
        <v>45974</v>
      </c>
      <c r="B454" t="s">
        <v>14</v>
      </c>
      <c r="C454" t="s">
        <v>15</v>
      </c>
      <c r="D454" t="s">
        <v>16</v>
      </c>
      <c r="E454" t="s">
        <v>23</v>
      </c>
      <c r="F454">
        <v>3</v>
      </c>
      <c r="G454">
        <v>393.94</v>
      </c>
      <c r="H454">
        <v>1181.82</v>
      </c>
      <c r="I454" t="str">
        <f>TEXT(SalesData[[#This Row],[Order Date]],"mmm-yyyy")</f>
        <v>Nov-2025</v>
      </c>
    </row>
    <row r="455" spans="1:9" x14ac:dyDescent="0.3">
      <c r="A455" s="1">
        <v>45397</v>
      </c>
      <c r="B455" t="s">
        <v>8</v>
      </c>
      <c r="C455" t="s">
        <v>29</v>
      </c>
      <c r="D455" t="s">
        <v>30</v>
      </c>
      <c r="E455" t="s">
        <v>26</v>
      </c>
      <c r="F455">
        <v>5</v>
      </c>
      <c r="G455">
        <v>346.01</v>
      </c>
      <c r="H455">
        <v>1730.05</v>
      </c>
      <c r="I455" t="str">
        <f>TEXT(SalesData[[#This Row],[Order Date]],"mmm-yyyy")</f>
        <v>Apr-2024</v>
      </c>
    </row>
    <row r="456" spans="1:9" x14ac:dyDescent="0.3">
      <c r="A456" s="1">
        <v>45654</v>
      </c>
      <c r="B456" t="s">
        <v>8</v>
      </c>
      <c r="C456" t="s">
        <v>24</v>
      </c>
      <c r="D456" t="s">
        <v>19</v>
      </c>
      <c r="E456" t="s">
        <v>23</v>
      </c>
      <c r="F456">
        <v>3</v>
      </c>
      <c r="G456">
        <v>230.56</v>
      </c>
      <c r="H456">
        <v>691.68</v>
      </c>
      <c r="I456" t="str">
        <f>TEXT(SalesData[[#This Row],[Order Date]],"mmm-yyyy")</f>
        <v>Dec-2024</v>
      </c>
    </row>
    <row r="457" spans="1:9" x14ac:dyDescent="0.3">
      <c r="A457" s="1">
        <v>45865</v>
      </c>
      <c r="B457" t="s">
        <v>8</v>
      </c>
      <c r="C457" t="s">
        <v>15</v>
      </c>
      <c r="D457" t="s">
        <v>16</v>
      </c>
      <c r="E457" t="s">
        <v>13</v>
      </c>
      <c r="F457">
        <v>5</v>
      </c>
      <c r="G457">
        <v>399.41</v>
      </c>
      <c r="H457">
        <v>1997.05</v>
      </c>
      <c r="I457" t="str">
        <f>TEXT(SalesData[[#This Row],[Order Date]],"mmm-yyyy")</f>
        <v>Jul-2025</v>
      </c>
    </row>
    <row r="458" spans="1:9" x14ac:dyDescent="0.3">
      <c r="A458" s="1">
        <v>45708</v>
      </c>
      <c r="B458" t="s">
        <v>14</v>
      </c>
      <c r="C458" t="s">
        <v>25</v>
      </c>
      <c r="D458" t="s">
        <v>16</v>
      </c>
      <c r="E458" t="s">
        <v>17</v>
      </c>
      <c r="F458">
        <v>5</v>
      </c>
      <c r="G458">
        <v>162.41</v>
      </c>
      <c r="H458">
        <v>812.05</v>
      </c>
      <c r="I458" t="str">
        <f>TEXT(SalesData[[#This Row],[Order Date]],"mmm-yyyy")</f>
        <v>Feb-2025</v>
      </c>
    </row>
    <row r="459" spans="1:9" x14ac:dyDescent="0.3">
      <c r="A459" s="1">
        <v>45927</v>
      </c>
      <c r="B459" t="s">
        <v>12</v>
      </c>
      <c r="C459" t="s">
        <v>9</v>
      </c>
      <c r="D459" t="s">
        <v>10</v>
      </c>
      <c r="E459" t="s">
        <v>26</v>
      </c>
      <c r="F459">
        <v>8</v>
      </c>
      <c r="G459">
        <v>29.81</v>
      </c>
      <c r="H459">
        <v>238.48</v>
      </c>
      <c r="I459" t="str">
        <f>TEXT(SalesData[[#This Row],[Order Date]],"mmm-yyyy")</f>
        <v>Sep-2025</v>
      </c>
    </row>
    <row r="460" spans="1:9" x14ac:dyDescent="0.3">
      <c r="A460" s="1">
        <v>45450</v>
      </c>
      <c r="B460" t="s">
        <v>8</v>
      </c>
      <c r="C460" t="s">
        <v>29</v>
      </c>
      <c r="D460" t="s">
        <v>30</v>
      </c>
      <c r="E460" t="s">
        <v>28</v>
      </c>
      <c r="F460">
        <v>1</v>
      </c>
      <c r="G460">
        <v>291.60000000000002</v>
      </c>
      <c r="H460">
        <v>291.60000000000002</v>
      </c>
      <c r="I460" t="str">
        <f>TEXT(SalesData[[#This Row],[Order Date]],"mmm-yyyy")</f>
        <v>Jun-2024</v>
      </c>
    </row>
    <row r="461" spans="1:9" x14ac:dyDescent="0.3">
      <c r="A461" s="1">
        <v>45534</v>
      </c>
      <c r="B461" t="s">
        <v>8</v>
      </c>
      <c r="C461" t="s">
        <v>15</v>
      </c>
      <c r="D461" t="s">
        <v>16</v>
      </c>
      <c r="E461" t="s">
        <v>28</v>
      </c>
      <c r="F461">
        <v>6</v>
      </c>
      <c r="G461">
        <v>369.51</v>
      </c>
      <c r="H461">
        <v>2217.06</v>
      </c>
      <c r="I461" t="str">
        <f>TEXT(SalesData[[#This Row],[Order Date]],"mmm-yyyy")</f>
        <v>Aug-2024</v>
      </c>
    </row>
    <row r="462" spans="1:9" x14ac:dyDescent="0.3">
      <c r="A462" s="1">
        <v>45458</v>
      </c>
      <c r="B462" t="s">
        <v>20</v>
      </c>
      <c r="C462" t="s">
        <v>15</v>
      </c>
      <c r="D462" t="s">
        <v>16</v>
      </c>
      <c r="E462" t="s">
        <v>28</v>
      </c>
      <c r="F462">
        <v>3</v>
      </c>
      <c r="G462">
        <v>369.4</v>
      </c>
      <c r="H462">
        <v>1108.2</v>
      </c>
      <c r="I462" t="str">
        <f>TEXT(SalesData[[#This Row],[Order Date]],"mmm-yyyy")</f>
        <v>Jun-2024</v>
      </c>
    </row>
    <row r="463" spans="1:9" x14ac:dyDescent="0.3">
      <c r="A463" s="1">
        <v>45473</v>
      </c>
      <c r="B463" t="s">
        <v>20</v>
      </c>
      <c r="C463" t="s">
        <v>9</v>
      </c>
      <c r="D463" t="s">
        <v>10</v>
      </c>
      <c r="E463" t="s">
        <v>26</v>
      </c>
      <c r="F463">
        <v>8</v>
      </c>
      <c r="G463">
        <v>30.9</v>
      </c>
      <c r="H463">
        <v>247.2</v>
      </c>
      <c r="I463" t="str">
        <f>TEXT(SalesData[[#This Row],[Order Date]],"mmm-yyyy")</f>
        <v>Jun-2024</v>
      </c>
    </row>
    <row r="464" spans="1:9" x14ac:dyDescent="0.3">
      <c r="A464" s="1">
        <v>45714</v>
      </c>
      <c r="B464" t="s">
        <v>20</v>
      </c>
      <c r="C464" t="s">
        <v>15</v>
      </c>
      <c r="D464" t="s">
        <v>16</v>
      </c>
      <c r="E464" t="s">
        <v>17</v>
      </c>
      <c r="F464">
        <v>6</v>
      </c>
      <c r="G464">
        <v>419.68</v>
      </c>
      <c r="H464">
        <v>2518.08</v>
      </c>
      <c r="I464" t="str">
        <f>TEXT(SalesData[[#This Row],[Order Date]],"mmm-yyyy")</f>
        <v>Feb-2025</v>
      </c>
    </row>
    <row r="465" spans="1:9" x14ac:dyDescent="0.3">
      <c r="A465" s="1">
        <v>45317</v>
      </c>
      <c r="B465" t="s">
        <v>8</v>
      </c>
      <c r="C465" t="s">
        <v>9</v>
      </c>
      <c r="D465" t="s">
        <v>10</v>
      </c>
      <c r="E465" t="s">
        <v>23</v>
      </c>
      <c r="F465">
        <v>6</v>
      </c>
      <c r="G465">
        <v>30.5</v>
      </c>
      <c r="H465">
        <v>183</v>
      </c>
      <c r="I465" t="str">
        <f>TEXT(SalesData[[#This Row],[Order Date]],"mmm-yyyy")</f>
        <v>Jan-2024</v>
      </c>
    </row>
    <row r="466" spans="1:9" x14ac:dyDescent="0.3">
      <c r="A466" s="1">
        <v>45475</v>
      </c>
      <c r="B466" t="s">
        <v>12</v>
      </c>
      <c r="C466" t="s">
        <v>15</v>
      </c>
      <c r="D466" t="s">
        <v>16</v>
      </c>
      <c r="E466" t="s">
        <v>31</v>
      </c>
      <c r="F466">
        <v>6</v>
      </c>
      <c r="G466">
        <v>436.97</v>
      </c>
      <c r="H466">
        <v>2621.82</v>
      </c>
      <c r="I466" t="str">
        <f>TEXT(SalesData[[#This Row],[Order Date]],"mmm-yyyy")</f>
        <v>Jul-2024</v>
      </c>
    </row>
    <row r="467" spans="1:9" x14ac:dyDescent="0.3">
      <c r="A467" s="1">
        <v>45632</v>
      </c>
      <c r="B467" t="s">
        <v>8</v>
      </c>
      <c r="C467" t="s">
        <v>21</v>
      </c>
      <c r="D467" t="s">
        <v>10</v>
      </c>
      <c r="E467" t="s">
        <v>31</v>
      </c>
      <c r="F467">
        <v>1</v>
      </c>
      <c r="G467">
        <v>43.87</v>
      </c>
      <c r="H467">
        <v>43.87</v>
      </c>
      <c r="I467" t="str">
        <f>TEXT(SalesData[[#This Row],[Order Date]],"mmm-yyyy")</f>
        <v>Dec-2024</v>
      </c>
    </row>
    <row r="468" spans="1:9" x14ac:dyDescent="0.3">
      <c r="A468" s="1">
        <v>45713</v>
      </c>
      <c r="B468" t="s">
        <v>12</v>
      </c>
      <c r="C468" t="s">
        <v>22</v>
      </c>
      <c r="D468" t="s">
        <v>10</v>
      </c>
      <c r="E468" t="s">
        <v>11</v>
      </c>
      <c r="F468">
        <v>5</v>
      </c>
      <c r="G468">
        <v>67</v>
      </c>
      <c r="H468">
        <v>335</v>
      </c>
      <c r="I468" t="str">
        <f>TEXT(SalesData[[#This Row],[Order Date]],"mmm-yyyy")</f>
        <v>Feb-2025</v>
      </c>
    </row>
    <row r="469" spans="1:9" x14ac:dyDescent="0.3">
      <c r="A469" s="1">
        <v>45977</v>
      </c>
      <c r="B469" t="s">
        <v>20</v>
      </c>
      <c r="C469" t="s">
        <v>22</v>
      </c>
      <c r="D469" t="s">
        <v>10</v>
      </c>
      <c r="E469" t="s">
        <v>31</v>
      </c>
      <c r="F469">
        <v>3</v>
      </c>
      <c r="G469">
        <v>75.16</v>
      </c>
      <c r="H469">
        <v>225.48</v>
      </c>
      <c r="I469" t="str">
        <f>TEXT(SalesData[[#This Row],[Order Date]],"mmm-yyyy")</f>
        <v>Nov-2025</v>
      </c>
    </row>
    <row r="470" spans="1:9" x14ac:dyDescent="0.3">
      <c r="A470" s="1">
        <v>45546</v>
      </c>
      <c r="B470" t="s">
        <v>8</v>
      </c>
      <c r="C470" t="s">
        <v>29</v>
      </c>
      <c r="D470" t="s">
        <v>30</v>
      </c>
      <c r="E470" t="s">
        <v>11</v>
      </c>
      <c r="F470">
        <v>3</v>
      </c>
      <c r="G470">
        <v>302.31</v>
      </c>
      <c r="H470">
        <v>906.93</v>
      </c>
      <c r="I470" t="str">
        <f>TEXT(SalesData[[#This Row],[Order Date]],"mmm-yyyy")</f>
        <v>Sep-2024</v>
      </c>
    </row>
    <row r="471" spans="1:9" x14ac:dyDescent="0.3">
      <c r="A471" s="1">
        <v>45565</v>
      </c>
      <c r="B471" t="s">
        <v>8</v>
      </c>
      <c r="C471" t="s">
        <v>24</v>
      </c>
      <c r="D471" t="s">
        <v>19</v>
      </c>
      <c r="E471" t="s">
        <v>11</v>
      </c>
      <c r="F471">
        <v>8</v>
      </c>
      <c r="G471">
        <v>273.16000000000003</v>
      </c>
      <c r="H471">
        <v>2185.2800000000002</v>
      </c>
      <c r="I471" t="str">
        <f>TEXT(SalesData[[#This Row],[Order Date]],"mmm-yyyy")</f>
        <v>Sep-2024</v>
      </c>
    </row>
    <row r="472" spans="1:9" x14ac:dyDescent="0.3">
      <c r="A472" s="1">
        <v>45455</v>
      </c>
      <c r="B472" t="s">
        <v>20</v>
      </c>
      <c r="C472" t="s">
        <v>15</v>
      </c>
      <c r="D472" t="s">
        <v>16</v>
      </c>
      <c r="E472" t="s">
        <v>13</v>
      </c>
      <c r="F472">
        <v>1</v>
      </c>
      <c r="G472">
        <v>360.97</v>
      </c>
      <c r="H472">
        <v>360.97</v>
      </c>
      <c r="I472" t="str">
        <f>TEXT(SalesData[[#This Row],[Order Date]],"mmm-yyyy")</f>
        <v>Jun-2024</v>
      </c>
    </row>
    <row r="473" spans="1:9" x14ac:dyDescent="0.3">
      <c r="A473" s="1">
        <v>46010</v>
      </c>
      <c r="B473" t="s">
        <v>20</v>
      </c>
      <c r="C473" t="s">
        <v>24</v>
      </c>
      <c r="D473" t="s">
        <v>19</v>
      </c>
      <c r="E473" t="s">
        <v>26</v>
      </c>
      <c r="F473">
        <v>4</v>
      </c>
      <c r="G473">
        <v>273.49</v>
      </c>
      <c r="H473">
        <v>1093.96</v>
      </c>
      <c r="I473" t="str">
        <f>TEXT(SalesData[[#This Row],[Order Date]],"mmm-yyyy")</f>
        <v>Dec-2025</v>
      </c>
    </row>
    <row r="474" spans="1:9" x14ac:dyDescent="0.3">
      <c r="A474" s="1">
        <v>45402</v>
      </c>
      <c r="B474" t="s">
        <v>20</v>
      </c>
      <c r="C474" t="s">
        <v>18</v>
      </c>
      <c r="D474" t="s">
        <v>19</v>
      </c>
      <c r="E474" t="s">
        <v>11</v>
      </c>
      <c r="F474">
        <v>7</v>
      </c>
      <c r="G474">
        <v>817.77</v>
      </c>
      <c r="H474">
        <v>5724.39</v>
      </c>
      <c r="I474" t="str">
        <f>TEXT(SalesData[[#This Row],[Order Date]],"mmm-yyyy")</f>
        <v>Apr-2024</v>
      </c>
    </row>
    <row r="475" spans="1:9" x14ac:dyDescent="0.3">
      <c r="A475" s="1">
        <v>45683</v>
      </c>
      <c r="B475" t="s">
        <v>12</v>
      </c>
      <c r="C475" t="s">
        <v>24</v>
      </c>
      <c r="D475" t="s">
        <v>19</v>
      </c>
      <c r="E475" t="s">
        <v>23</v>
      </c>
      <c r="F475">
        <v>1</v>
      </c>
      <c r="G475">
        <v>269.56</v>
      </c>
      <c r="H475">
        <v>269.56</v>
      </c>
      <c r="I475" t="str">
        <f>TEXT(SalesData[[#This Row],[Order Date]],"mmm-yyyy")</f>
        <v>Jan-2025</v>
      </c>
    </row>
    <row r="476" spans="1:9" x14ac:dyDescent="0.3">
      <c r="A476" s="1">
        <v>45331</v>
      </c>
      <c r="B476" t="s">
        <v>8</v>
      </c>
      <c r="C476" t="s">
        <v>9</v>
      </c>
      <c r="D476" t="s">
        <v>10</v>
      </c>
      <c r="E476" t="s">
        <v>28</v>
      </c>
      <c r="F476">
        <v>4</v>
      </c>
      <c r="G476">
        <v>30.17</v>
      </c>
      <c r="H476">
        <v>120.68</v>
      </c>
      <c r="I476" t="str">
        <f>TEXT(SalesData[[#This Row],[Order Date]],"mmm-yyyy")</f>
        <v>Feb-2024</v>
      </c>
    </row>
    <row r="477" spans="1:9" x14ac:dyDescent="0.3">
      <c r="A477" s="1">
        <v>45773</v>
      </c>
      <c r="B477" t="s">
        <v>14</v>
      </c>
      <c r="C477" t="s">
        <v>15</v>
      </c>
      <c r="D477" t="s">
        <v>16</v>
      </c>
      <c r="E477" t="s">
        <v>28</v>
      </c>
      <c r="F477">
        <v>8</v>
      </c>
      <c r="G477">
        <v>439.44</v>
      </c>
      <c r="H477">
        <v>3515.52</v>
      </c>
      <c r="I477" t="str">
        <f>TEXT(SalesData[[#This Row],[Order Date]],"mmm-yyyy")</f>
        <v>Apr-2025</v>
      </c>
    </row>
    <row r="478" spans="1:9" x14ac:dyDescent="0.3">
      <c r="A478" s="1">
        <v>45519</v>
      </c>
      <c r="B478" t="s">
        <v>12</v>
      </c>
      <c r="C478" t="s">
        <v>18</v>
      </c>
      <c r="D478" t="s">
        <v>19</v>
      </c>
      <c r="E478" t="s">
        <v>23</v>
      </c>
      <c r="F478">
        <v>8</v>
      </c>
      <c r="G478">
        <v>823.28</v>
      </c>
      <c r="H478">
        <v>6586.24</v>
      </c>
      <c r="I478" t="str">
        <f>TEXT(SalesData[[#This Row],[Order Date]],"mmm-yyyy")</f>
        <v>Aug-2024</v>
      </c>
    </row>
    <row r="479" spans="1:9" x14ac:dyDescent="0.3">
      <c r="A479" s="1">
        <v>45496</v>
      </c>
      <c r="B479" t="s">
        <v>12</v>
      </c>
      <c r="C479" t="s">
        <v>15</v>
      </c>
      <c r="D479" t="s">
        <v>16</v>
      </c>
      <c r="E479" t="s">
        <v>26</v>
      </c>
      <c r="F479">
        <v>2</v>
      </c>
      <c r="G479">
        <v>404.31</v>
      </c>
      <c r="H479">
        <v>808.62</v>
      </c>
      <c r="I479" t="str">
        <f>TEXT(SalesData[[#This Row],[Order Date]],"mmm-yyyy")</f>
        <v>Jul-2024</v>
      </c>
    </row>
    <row r="480" spans="1:9" x14ac:dyDescent="0.3">
      <c r="A480" s="1">
        <v>45763</v>
      </c>
      <c r="B480" t="s">
        <v>20</v>
      </c>
      <c r="C480" t="s">
        <v>25</v>
      </c>
      <c r="D480" t="s">
        <v>16</v>
      </c>
      <c r="E480" t="s">
        <v>17</v>
      </c>
      <c r="F480">
        <v>5</v>
      </c>
      <c r="G480">
        <v>196.89</v>
      </c>
      <c r="H480">
        <v>984.45</v>
      </c>
      <c r="I480" t="str">
        <f>TEXT(SalesData[[#This Row],[Order Date]],"mmm-yyyy")</f>
        <v>Apr-2025</v>
      </c>
    </row>
    <row r="481" spans="1:9" x14ac:dyDescent="0.3">
      <c r="A481" s="1">
        <v>45650</v>
      </c>
      <c r="B481" t="s">
        <v>20</v>
      </c>
      <c r="C481" t="s">
        <v>9</v>
      </c>
      <c r="D481" t="s">
        <v>10</v>
      </c>
      <c r="E481" t="s">
        <v>17</v>
      </c>
      <c r="F481">
        <v>8</v>
      </c>
      <c r="G481">
        <v>30.14</v>
      </c>
      <c r="H481">
        <v>241.12</v>
      </c>
      <c r="I481" t="str">
        <f>TEXT(SalesData[[#This Row],[Order Date]],"mmm-yyyy")</f>
        <v>Dec-2024</v>
      </c>
    </row>
    <row r="482" spans="1:9" x14ac:dyDescent="0.3">
      <c r="A482" s="1">
        <v>45604</v>
      </c>
      <c r="B482" t="s">
        <v>8</v>
      </c>
      <c r="C482" t="s">
        <v>24</v>
      </c>
      <c r="D482" t="s">
        <v>19</v>
      </c>
      <c r="E482" t="s">
        <v>28</v>
      </c>
      <c r="F482">
        <v>8</v>
      </c>
      <c r="G482">
        <v>256.47000000000003</v>
      </c>
      <c r="H482">
        <v>2051.7600000000002</v>
      </c>
      <c r="I482" t="str">
        <f>TEXT(SalesData[[#This Row],[Order Date]],"mmm-yyyy")</f>
        <v>Nov-2024</v>
      </c>
    </row>
    <row r="483" spans="1:9" x14ac:dyDescent="0.3">
      <c r="A483" s="1">
        <v>45525</v>
      </c>
      <c r="B483" t="s">
        <v>12</v>
      </c>
      <c r="C483" t="s">
        <v>24</v>
      </c>
      <c r="D483" t="s">
        <v>19</v>
      </c>
      <c r="E483" t="s">
        <v>13</v>
      </c>
      <c r="F483">
        <v>5</v>
      </c>
      <c r="G483">
        <v>259.79000000000002</v>
      </c>
      <c r="H483">
        <v>1298.95</v>
      </c>
      <c r="I483" t="str">
        <f>TEXT(SalesData[[#This Row],[Order Date]],"mmm-yyyy")</f>
        <v>Aug-2024</v>
      </c>
    </row>
    <row r="484" spans="1:9" x14ac:dyDescent="0.3">
      <c r="A484" s="1">
        <v>45520</v>
      </c>
      <c r="B484" t="s">
        <v>12</v>
      </c>
      <c r="C484" t="s">
        <v>18</v>
      </c>
      <c r="D484" t="s">
        <v>19</v>
      </c>
      <c r="E484" t="s">
        <v>26</v>
      </c>
      <c r="F484">
        <v>6</v>
      </c>
      <c r="G484">
        <v>891.82</v>
      </c>
      <c r="H484">
        <v>5350.92</v>
      </c>
      <c r="I484" t="str">
        <f>TEXT(SalesData[[#This Row],[Order Date]],"mmm-yyyy")</f>
        <v>Aug-2024</v>
      </c>
    </row>
    <row r="485" spans="1:9" x14ac:dyDescent="0.3">
      <c r="A485" s="1">
        <v>45316</v>
      </c>
      <c r="B485" t="s">
        <v>14</v>
      </c>
      <c r="C485" t="s">
        <v>9</v>
      </c>
      <c r="D485" t="s">
        <v>10</v>
      </c>
      <c r="E485" t="s">
        <v>28</v>
      </c>
      <c r="F485">
        <v>3</v>
      </c>
      <c r="G485">
        <v>30.77</v>
      </c>
      <c r="H485">
        <v>92.31</v>
      </c>
      <c r="I485" t="str">
        <f>TEXT(SalesData[[#This Row],[Order Date]],"mmm-yyyy")</f>
        <v>Jan-2024</v>
      </c>
    </row>
    <row r="486" spans="1:9" x14ac:dyDescent="0.3">
      <c r="A486" s="1">
        <v>45967</v>
      </c>
      <c r="B486" t="s">
        <v>14</v>
      </c>
      <c r="C486" t="s">
        <v>15</v>
      </c>
      <c r="D486" t="s">
        <v>16</v>
      </c>
      <c r="E486" t="s">
        <v>11</v>
      </c>
      <c r="F486">
        <v>8</v>
      </c>
      <c r="G486">
        <v>406.75</v>
      </c>
      <c r="H486">
        <v>3254</v>
      </c>
      <c r="I486" t="str">
        <f>TEXT(SalesData[[#This Row],[Order Date]],"mmm-yyyy")</f>
        <v>Nov-2025</v>
      </c>
    </row>
    <row r="487" spans="1:9" x14ac:dyDescent="0.3">
      <c r="A487" s="1">
        <v>45489</v>
      </c>
      <c r="B487" t="s">
        <v>8</v>
      </c>
      <c r="C487" t="s">
        <v>21</v>
      </c>
      <c r="D487" t="s">
        <v>10</v>
      </c>
      <c r="E487" t="s">
        <v>11</v>
      </c>
      <c r="F487">
        <v>3</v>
      </c>
      <c r="G487">
        <v>48.61</v>
      </c>
      <c r="H487">
        <v>145.83000000000001</v>
      </c>
      <c r="I487" t="str">
        <f>TEXT(SalesData[[#This Row],[Order Date]],"mmm-yyyy")</f>
        <v>Jul-2024</v>
      </c>
    </row>
    <row r="488" spans="1:9" x14ac:dyDescent="0.3">
      <c r="A488" s="1">
        <v>45700</v>
      </c>
      <c r="B488" t="s">
        <v>8</v>
      </c>
      <c r="C488" t="s">
        <v>18</v>
      </c>
      <c r="D488" t="s">
        <v>19</v>
      </c>
      <c r="E488" t="s">
        <v>11</v>
      </c>
      <c r="F488">
        <v>4</v>
      </c>
      <c r="G488">
        <v>818.18</v>
      </c>
      <c r="H488">
        <v>3272.72</v>
      </c>
      <c r="I488" t="str">
        <f>TEXT(SalesData[[#This Row],[Order Date]],"mmm-yyyy")</f>
        <v>Feb-2025</v>
      </c>
    </row>
    <row r="489" spans="1:9" x14ac:dyDescent="0.3">
      <c r="A489" s="1">
        <v>45628</v>
      </c>
      <c r="B489" t="s">
        <v>14</v>
      </c>
      <c r="C489" t="s">
        <v>15</v>
      </c>
      <c r="D489" t="s">
        <v>16</v>
      </c>
      <c r="E489" t="s">
        <v>31</v>
      </c>
      <c r="F489">
        <v>1</v>
      </c>
      <c r="G489">
        <v>382.48</v>
      </c>
      <c r="H489">
        <v>382.48</v>
      </c>
      <c r="I489" t="str">
        <f>TEXT(SalesData[[#This Row],[Order Date]],"mmm-yyyy")</f>
        <v>Dec-2024</v>
      </c>
    </row>
    <row r="490" spans="1:9" x14ac:dyDescent="0.3">
      <c r="A490" s="1">
        <v>45577</v>
      </c>
      <c r="B490" t="s">
        <v>12</v>
      </c>
      <c r="C490" t="s">
        <v>29</v>
      </c>
      <c r="D490" t="s">
        <v>30</v>
      </c>
      <c r="E490" t="s">
        <v>26</v>
      </c>
      <c r="F490">
        <v>2</v>
      </c>
      <c r="G490">
        <v>348.83</v>
      </c>
      <c r="H490">
        <v>697.66</v>
      </c>
      <c r="I490" t="str">
        <f>TEXT(SalesData[[#This Row],[Order Date]],"mmm-yyyy")</f>
        <v>Oct-2024</v>
      </c>
    </row>
    <row r="491" spans="1:9" x14ac:dyDescent="0.3">
      <c r="A491" s="1">
        <v>45363</v>
      </c>
      <c r="B491" t="s">
        <v>14</v>
      </c>
      <c r="C491" t="s">
        <v>25</v>
      </c>
      <c r="D491" t="s">
        <v>16</v>
      </c>
      <c r="E491" t="s">
        <v>17</v>
      </c>
      <c r="F491">
        <v>6</v>
      </c>
      <c r="G491">
        <v>194.05</v>
      </c>
      <c r="H491">
        <v>1164.3</v>
      </c>
      <c r="I491" t="str">
        <f>TEXT(SalesData[[#This Row],[Order Date]],"mmm-yyyy")</f>
        <v>Mar-2024</v>
      </c>
    </row>
    <row r="492" spans="1:9" x14ac:dyDescent="0.3">
      <c r="A492" s="1">
        <v>45577</v>
      </c>
      <c r="B492" t="s">
        <v>8</v>
      </c>
      <c r="C492" t="s">
        <v>24</v>
      </c>
      <c r="D492" t="s">
        <v>19</v>
      </c>
      <c r="E492" t="s">
        <v>28</v>
      </c>
      <c r="F492">
        <v>5</v>
      </c>
      <c r="G492">
        <v>247.78</v>
      </c>
      <c r="H492">
        <v>1238.9000000000001</v>
      </c>
      <c r="I492" t="str">
        <f>TEXT(SalesData[[#This Row],[Order Date]],"mmm-yyyy")</f>
        <v>Oct-2024</v>
      </c>
    </row>
    <row r="493" spans="1:9" x14ac:dyDescent="0.3">
      <c r="A493" s="1">
        <v>45651</v>
      </c>
      <c r="B493" t="s">
        <v>12</v>
      </c>
      <c r="C493" t="s">
        <v>15</v>
      </c>
      <c r="D493" t="s">
        <v>16</v>
      </c>
      <c r="E493" t="s">
        <v>28</v>
      </c>
      <c r="F493">
        <v>7</v>
      </c>
      <c r="G493">
        <v>409.61</v>
      </c>
      <c r="H493">
        <v>2867.27</v>
      </c>
      <c r="I493" t="str">
        <f>TEXT(SalesData[[#This Row],[Order Date]],"mmm-yyyy")</f>
        <v>Dec-2024</v>
      </c>
    </row>
    <row r="494" spans="1:9" x14ac:dyDescent="0.3">
      <c r="A494" s="1">
        <v>45948</v>
      </c>
      <c r="B494" t="s">
        <v>14</v>
      </c>
      <c r="C494" t="s">
        <v>25</v>
      </c>
      <c r="D494" t="s">
        <v>16</v>
      </c>
      <c r="E494" t="s">
        <v>23</v>
      </c>
      <c r="F494">
        <v>8</v>
      </c>
      <c r="G494">
        <v>171.99</v>
      </c>
      <c r="H494">
        <v>1375.92</v>
      </c>
      <c r="I494" t="str">
        <f>TEXT(SalesData[[#This Row],[Order Date]],"mmm-yyyy")</f>
        <v>Oct-2025</v>
      </c>
    </row>
    <row r="495" spans="1:9" x14ac:dyDescent="0.3">
      <c r="A495" s="1">
        <v>45813</v>
      </c>
      <c r="B495" t="s">
        <v>20</v>
      </c>
      <c r="C495" t="s">
        <v>24</v>
      </c>
      <c r="D495" t="s">
        <v>19</v>
      </c>
      <c r="E495" t="s">
        <v>13</v>
      </c>
      <c r="F495">
        <v>3</v>
      </c>
      <c r="G495">
        <v>234.41</v>
      </c>
      <c r="H495">
        <v>703.23</v>
      </c>
      <c r="I495" t="str">
        <f>TEXT(SalesData[[#This Row],[Order Date]],"mmm-yyyy")</f>
        <v>Jun-2025</v>
      </c>
    </row>
    <row r="496" spans="1:9" x14ac:dyDescent="0.3">
      <c r="A496" s="1">
        <v>45701</v>
      </c>
      <c r="B496" t="s">
        <v>12</v>
      </c>
      <c r="C496" t="s">
        <v>9</v>
      </c>
      <c r="D496" t="s">
        <v>10</v>
      </c>
      <c r="E496" t="s">
        <v>26</v>
      </c>
      <c r="F496">
        <v>5</v>
      </c>
      <c r="G496">
        <v>29.78</v>
      </c>
      <c r="H496">
        <v>148.9</v>
      </c>
      <c r="I496" t="str">
        <f>TEXT(SalesData[[#This Row],[Order Date]],"mmm-yyyy")</f>
        <v>Feb-2025</v>
      </c>
    </row>
    <row r="497" spans="1:9" x14ac:dyDescent="0.3">
      <c r="A497" s="1">
        <v>45987</v>
      </c>
      <c r="B497" t="s">
        <v>8</v>
      </c>
      <c r="C497" t="s">
        <v>25</v>
      </c>
      <c r="D497" t="s">
        <v>16</v>
      </c>
      <c r="E497" t="s">
        <v>11</v>
      </c>
      <c r="F497">
        <v>3</v>
      </c>
      <c r="G497">
        <v>174.72</v>
      </c>
      <c r="H497">
        <v>524.16</v>
      </c>
      <c r="I497" t="str">
        <f>TEXT(SalesData[[#This Row],[Order Date]],"mmm-yyyy")</f>
        <v>Nov-2025</v>
      </c>
    </row>
    <row r="498" spans="1:9" x14ac:dyDescent="0.3">
      <c r="A498" s="1">
        <v>45841</v>
      </c>
      <c r="B498" t="s">
        <v>8</v>
      </c>
      <c r="C498" t="s">
        <v>21</v>
      </c>
      <c r="D498" t="s">
        <v>10</v>
      </c>
      <c r="E498" t="s">
        <v>26</v>
      </c>
      <c r="F498">
        <v>7</v>
      </c>
      <c r="G498">
        <v>45.75</v>
      </c>
      <c r="H498">
        <v>320.25</v>
      </c>
      <c r="I498" t="str">
        <f>TEXT(SalesData[[#This Row],[Order Date]],"mmm-yyyy")</f>
        <v>Jul-2025</v>
      </c>
    </row>
    <row r="499" spans="1:9" x14ac:dyDescent="0.3">
      <c r="A499" s="1">
        <v>45631</v>
      </c>
      <c r="B499" t="s">
        <v>14</v>
      </c>
      <c r="C499" t="s">
        <v>22</v>
      </c>
      <c r="D499" t="s">
        <v>10</v>
      </c>
      <c r="E499" t="s">
        <v>17</v>
      </c>
      <c r="F499">
        <v>3</v>
      </c>
      <c r="G499">
        <v>64.09</v>
      </c>
      <c r="H499">
        <v>192.27</v>
      </c>
      <c r="I499" t="str">
        <f>TEXT(SalesData[[#This Row],[Order Date]],"mmm-yyyy")</f>
        <v>Dec-2024</v>
      </c>
    </row>
    <row r="500" spans="1:9" x14ac:dyDescent="0.3">
      <c r="A500" s="1">
        <v>45320</v>
      </c>
      <c r="B500" t="s">
        <v>14</v>
      </c>
      <c r="C500" t="s">
        <v>29</v>
      </c>
      <c r="D500" t="s">
        <v>30</v>
      </c>
      <c r="E500" t="s">
        <v>28</v>
      </c>
      <c r="F500">
        <v>3</v>
      </c>
      <c r="G500">
        <v>350.36</v>
      </c>
      <c r="H500">
        <v>1051.08</v>
      </c>
      <c r="I500" t="str">
        <f>TEXT(SalesData[[#This Row],[Order Date]],"mmm-yyyy")</f>
        <v>Jan-2024</v>
      </c>
    </row>
    <row r="501" spans="1:9" x14ac:dyDescent="0.3">
      <c r="A501" s="1">
        <v>45410</v>
      </c>
      <c r="B501" t="s">
        <v>20</v>
      </c>
      <c r="C501" t="s">
        <v>22</v>
      </c>
      <c r="D501" t="s">
        <v>10</v>
      </c>
      <c r="E501" t="s">
        <v>27</v>
      </c>
      <c r="F501">
        <v>1</v>
      </c>
      <c r="G501">
        <v>76.81</v>
      </c>
      <c r="H501">
        <v>76.81</v>
      </c>
      <c r="I501" t="str">
        <f>TEXT(SalesData[[#This Row],[Order Date]],"mmm-yyyy")</f>
        <v>Apr-2024</v>
      </c>
    </row>
    <row r="502" spans="1:9" x14ac:dyDescent="0.3">
      <c r="A502" s="1">
        <v>45559</v>
      </c>
      <c r="B502" t="s">
        <v>14</v>
      </c>
      <c r="C502" t="s">
        <v>22</v>
      </c>
      <c r="D502" t="s">
        <v>10</v>
      </c>
      <c r="E502" t="s">
        <v>11</v>
      </c>
      <c r="F502">
        <v>3</v>
      </c>
      <c r="G502">
        <v>72.77</v>
      </c>
      <c r="H502">
        <v>218.31</v>
      </c>
      <c r="I502" t="str">
        <f>TEXT(SalesData[[#This Row],[Order Date]],"mmm-yyyy")</f>
        <v>Sep-2024</v>
      </c>
    </row>
    <row r="503" spans="1:9" x14ac:dyDescent="0.3">
      <c r="A503" s="1">
        <v>45474</v>
      </c>
      <c r="B503" t="s">
        <v>8</v>
      </c>
      <c r="C503" t="s">
        <v>22</v>
      </c>
      <c r="D503" t="s">
        <v>10</v>
      </c>
      <c r="E503" t="s">
        <v>11</v>
      </c>
      <c r="F503">
        <v>7</v>
      </c>
      <c r="G503">
        <v>70.510000000000005</v>
      </c>
      <c r="H503">
        <v>493.57</v>
      </c>
      <c r="I503" t="str">
        <f>TEXT(SalesData[[#This Row],[Order Date]],"mmm-yyyy")</f>
        <v>Jul-2024</v>
      </c>
    </row>
    <row r="504" spans="1:9" x14ac:dyDescent="0.3">
      <c r="A504" s="1">
        <v>45886</v>
      </c>
      <c r="B504" t="s">
        <v>14</v>
      </c>
      <c r="C504" t="s">
        <v>22</v>
      </c>
      <c r="D504" t="s">
        <v>10</v>
      </c>
      <c r="E504" t="s">
        <v>13</v>
      </c>
      <c r="F504">
        <v>8</v>
      </c>
      <c r="G504">
        <v>67.33</v>
      </c>
      <c r="H504">
        <v>538.64</v>
      </c>
      <c r="I504" t="str">
        <f>TEXT(SalesData[[#This Row],[Order Date]],"mmm-yyyy")</f>
        <v>Aug-2025</v>
      </c>
    </row>
    <row r="505" spans="1:9" x14ac:dyDescent="0.3">
      <c r="A505" s="1">
        <v>45563</v>
      </c>
      <c r="B505" t="s">
        <v>20</v>
      </c>
      <c r="C505" t="s">
        <v>18</v>
      </c>
      <c r="D505" t="s">
        <v>19</v>
      </c>
      <c r="E505" t="s">
        <v>27</v>
      </c>
      <c r="F505">
        <v>4</v>
      </c>
      <c r="G505">
        <v>956.48</v>
      </c>
      <c r="H505">
        <v>3825.92</v>
      </c>
      <c r="I505" t="str">
        <f>TEXT(SalesData[[#This Row],[Order Date]],"mmm-yyyy")</f>
        <v>Sep-2024</v>
      </c>
    </row>
    <row r="506" spans="1:9" x14ac:dyDescent="0.3">
      <c r="A506" s="1">
        <v>45331</v>
      </c>
      <c r="B506" t="s">
        <v>20</v>
      </c>
      <c r="C506" t="s">
        <v>29</v>
      </c>
      <c r="D506" t="s">
        <v>30</v>
      </c>
      <c r="E506" t="s">
        <v>26</v>
      </c>
      <c r="F506">
        <v>4</v>
      </c>
      <c r="G506">
        <v>331.82</v>
      </c>
      <c r="H506">
        <v>1327.28</v>
      </c>
      <c r="I506" t="str">
        <f>TEXT(SalesData[[#This Row],[Order Date]],"mmm-yyyy")</f>
        <v>Feb-2024</v>
      </c>
    </row>
    <row r="507" spans="1:9" x14ac:dyDescent="0.3">
      <c r="A507" s="1">
        <v>45403</v>
      </c>
      <c r="B507" t="s">
        <v>12</v>
      </c>
      <c r="C507" t="s">
        <v>22</v>
      </c>
      <c r="D507" t="s">
        <v>10</v>
      </c>
      <c r="E507" t="s">
        <v>13</v>
      </c>
      <c r="F507">
        <v>8</v>
      </c>
      <c r="G507">
        <v>65.28</v>
      </c>
      <c r="H507">
        <v>522.24</v>
      </c>
      <c r="I507" t="str">
        <f>TEXT(SalesData[[#This Row],[Order Date]],"mmm-yyyy")</f>
        <v>Apr-2024</v>
      </c>
    </row>
    <row r="508" spans="1:9" x14ac:dyDescent="0.3">
      <c r="A508" s="1">
        <v>45902</v>
      </c>
      <c r="B508" t="s">
        <v>12</v>
      </c>
      <c r="C508" t="s">
        <v>29</v>
      </c>
      <c r="D508" t="s">
        <v>30</v>
      </c>
      <c r="E508" t="s">
        <v>17</v>
      </c>
      <c r="F508">
        <v>6</v>
      </c>
      <c r="G508">
        <v>346.3</v>
      </c>
      <c r="H508">
        <v>2077.8000000000002</v>
      </c>
      <c r="I508" t="str">
        <f>TEXT(SalesData[[#This Row],[Order Date]],"mmm-yyyy")</f>
        <v>Sep-2025</v>
      </c>
    </row>
    <row r="509" spans="1:9" x14ac:dyDescent="0.3">
      <c r="A509" s="1">
        <v>45736</v>
      </c>
      <c r="B509" t="s">
        <v>12</v>
      </c>
      <c r="C509" t="s">
        <v>9</v>
      </c>
      <c r="D509" t="s">
        <v>10</v>
      </c>
      <c r="E509" t="s">
        <v>31</v>
      </c>
      <c r="F509">
        <v>7</v>
      </c>
      <c r="G509">
        <v>31.94</v>
      </c>
      <c r="H509">
        <v>223.58</v>
      </c>
      <c r="I509" t="str">
        <f>TEXT(SalesData[[#This Row],[Order Date]],"mmm-yyyy")</f>
        <v>Mar-2025</v>
      </c>
    </row>
    <row r="510" spans="1:9" x14ac:dyDescent="0.3">
      <c r="A510" s="1">
        <v>45645</v>
      </c>
      <c r="B510" t="s">
        <v>8</v>
      </c>
      <c r="C510" t="s">
        <v>29</v>
      </c>
      <c r="D510" t="s">
        <v>30</v>
      </c>
      <c r="E510" t="s">
        <v>23</v>
      </c>
      <c r="F510">
        <v>1</v>
      </c>
      <c r="G510">
        <v>348.79</v>
      </c>
      <c r="H510">
        <v>348.79</v>
      </c>
      <c r="I510" t="str">
        <f>TEXT(SalesData[[#This Row],[Order Date]],"mmm-yyyy")</f>
        <v>Dec-2024</v>
      </c>
    </row>
    <row r="511" spans="1:9" x14ac:dyDescent="0.3">
      <c r="A511" s="1">
        <v>45613</v>
      </c>
      <c r="B511" t="s">
        <v>8</v>
      </c>
      <c r="C511" t="s">
        <v>25</v>
      </c>
      <c r="D511" t="s">
        <v>16</v>
      </c>
      <c r="E511" t="s">
        <v>13</v>
      </c>
      <c r="F511">
        <v>2</v>
      </c>
      <c r="G511">
        <v>188.13</v>
      </c>
      <c r="H511">
        <v>376.26</v>
      </c>
      <c r="I511" t="str">
        <f>TEXT(SalesData[[#This Row],[Order Date]],"mmm-yyyy")</f>
        <v>Nov-2024</v>
      </c>
    </row>
    <row r="512" spans="1:9" x14ac:dyDescent="0.3">
      <c r="A512" s="1">
        <v>45738</v>
      </c>
      <c r="B512" t="s">
        <v>20</v>
      </c>
      <c r="C512" t="s">
        <v>9</v>
      </c>
      <c r="D512" t="s">
        <v>10</v>
      </c>
      <c r="E512" t="s">
        <v>11</v>
      </c>
      <c r="F512">
        <v>4</v>
      </c>
      <c r="G512">
        <v>30.68</v>
      </c>
      <c r="H512">
        <v>122.72</v>
      </c>
      <c r="I512" t="str">
        <f>TEXT(SalesData[[#This Row],[Order Date]],"mmm-yyyy")</f>
        <v>Mar-2025</v>
      </c>
    </row>
    <row r="513" spans="1:9" x14ac:dyDescent="0.3">
      <c r="A513" s="1">
        <v>45912</v>
      </c>
      <c r="B513" t="s">
        <v>14</v>
      </c>
      <c r="C513" t="s">
        <v>21</v>
      </c>
      <c r="D513" t="s">
        <v>10</v>
      </c>
      <c r="E513" t="s">
        <v>31</v>
      </c>
      <c r="F513">
        <v>3</v>
      </c>
      <c r="G513">
        <v>44.26</v>
      </c>
      <c r="H513">
        <v>132.78</v>
      </c>
      <c r="I513" t="str">
        <f>TEXT(SalesData[[#This Row],[Order Date]],"mmm-yyyy")</f>
        <v>Sep-2025</v>
      </c>
    </row>
    <row r="514" spans="1:9" x14ac:dyDescent="0.3">
      <c r="A514" s="1">
        <v>45815</v>
      </c>
      <c r="B514" t="s">
        <v>20</v>
      </c>
      <c r="C514" t="s">
        <v>18</v>
      </c>
      <c r="D514" t="s">
        <v>19</v>
      </c>
      <c r="E514" t="s">
        <v>26</v>
      </c>
      <c r="F514">
        <v>6</v>
      </c>
      <c r="G514">
        <v>977.89</v>
      </c>
      <c r="H514">
        <v>5867.34</v>
      </c>
      <c r="I514" t="str">
        <f>TEXT(SalesData[[#This Row],[Order Date]],"mmm-yyyy")</f>
        <v>Jun-2025</v>
      </c>
    </row>
    <row r="515" spans="1:9" x14ac:dyDescent="0.3">
      <c r="A515" s="1">
        <v>45410</v>
      </c>
      <c r="B515" t="s">
        <v>20</v>
      </c>
      <c r="C515" t="s">
        <v>25</v>
      </c>
      <c r="D515" t="s">
        <v>16</v>
      </c>
      <c r="E515" t="s">
        <v>23</v>
      </c>
      <c r="F515">
        <v>5</v>
      </c>
      <c r="G515">
        <v>193.18</v>
      </c>
      <c r="H515">
        <v>965.9</v>
      </c>
      <c r="I515" t="str">
        <f>TEXT(SalesData[[#This Row],[Order Date]],"mmm-yyyy")</f>
        <v>Apr-2024</v>
      </c>
    </row>
    <row r="516" spans="1:9" x14ac:dyDescent="0.3">
      <c r="A516" s="1">
        <v>45686</v>
      </c>
      <c r="B516" t="s">
        <v>8</v>
      </c>
      <c r="C516" t="s">
        <v>24</v>
      </c>
      <c r="D516" t="s">
        <v>19</v>
      </c>
      <c r="E516" t="s">
        <v>27</v>
      </c>
      <c r="F516">
        <v>3</v>
      </c>
      <c r="G516">
        <v>227.26</v>
      </c>
      <c r="H516">
        <v>681.78</v>
      </c>
      <c r="I516" t="str">
        <f>TEXT(SalesData[[#This Row],[Order Date]],"mmm-yyyy")</f>
        <v>Jan-2025</v>
      </c>
    </row>
    <row r="517" spans="1:9" x14ac:dyDescent="0.3">
      <c r="A517" s="1">
        <v>45882</v>
      </c>
      <c r="B517" t="s">
        <v>14</v>
      </c>
      <c r="C517" t="s">
        <v>29</v>
      </c>
      <c r="D517" t="s">
        <v>30</v>
      </c>
      <c r="E517" t="s">
        <v>31</v>
      </c>
      <c r="F517">
        <v>3</v>
      </c>
      <c r="G517">
        <v>289.69</v>
      </c>
      <c r="H517">
        <v>869.07</v>
      </c>
      <c r="I517" t="str">
        <f>TEXT(SalesData[[#This Row],[Order Date]],"mmm-yyyy")</f>
        <v>Aug-2025</v>
      </c>
    </row>
    <row r="518" spans="1:9" x14ac:dyDescent="0.3">
      <c r="A518" s="1">
        <v>45486</v>
      </c>
      <c r="B518" t="s">
        <v>14</v>
      </c>
      <c r="C518" t="s">
        <v>21</v>
      </c>
      <c r="D518" t="s">
        <v>10</v>
      </c>
      <c r="E518" t="s">
        <v>11</v>
      </c>
      <c r="F518">
        <v>6</v>
      </c>
      <c r="G518">
        <v>43.89</v>
      </c>
      <c r="H518">
        <v>263.33999999999997</v>
      </c>
      <c r="I518" t="str">
        <f>TEXT(SalesData[[#This Row],[Order Date]],"mmm-yyyy")</f>
        <v>Jul-2024</v>
      </c>
    </row>
    <row r="519" spans="1:9" x14ac:dyDescent="0.3">
      <c r="A519" s="1">
        <v>45552</v>
      </c>
      <c r="B519" t="s">
        <v>20</v>
      </c>
      <c r="C519" t="s">
        <v>22</v>
      </c>
      <c r="D519" t="s">
        <v>10</v>
      </c>
      <c r="E519" t="s">
        <v>11</v>
      </c>
      <c r="F519">
        <v>3</v>
      </c>
      <c r="G519">
        <v>74.349999999999994</v>
      </c>
      <c r="H519">
        <v>223.05</v>
      </c>
      <c r="I519" t="str">
        <f>TEXT(SalesData[[#This Row],[Order Date]],"mmm-yyyy")</f>
        <v>Sep-2024</v>
      </c>
    </row>
    <row r="520" spans="1:9" x14ac:dyDescent="0.3">
      <c r="A520" s="1">
        <v>45337</v>
      </c>
      <c r="B520" t="s">
        <v>12</v>
      </c>
      <c r="C520" t="s">
        <v>15</v>
      </c>
      <c r="D520" t="s">
        <v>16</v>
      </c>
      <c r="E520" t="s">
        <v>13</v>
      </c>
      <c r="F520">
        <v>8</v>
      </c>
      <c r="G520">
        <v>438.98</v>
      </c>
      <c r="H520">
        <v>3511.84</v>
      </c>
      <c r="I520" t="str">
        <f>TEXT(SalesData[[#This Row],[Order Date]],"mmm-yyyy")</f>
        <v>Feb-2024</v>
      </c>
    </row>
    <row r="521" spans="1:9" x14ac:dyDescent="0.3">
      <c r="A521" s="1">
        <v>46017</v>
      </c>
      <c r="B521" t="s">
        <v>20</v>
      </c>
      <c r="C521" t="s">
        <v>15</v>
      </c>
      <c r="D521" t="s">
        <v>16</v>
      </c>
      <c r="E521" t="s">
        <v>17</v>
      </c>
      <c r="F521">
        <v>5</v>
      </c>
      <c r="G521">
        <v>372.03</v>
      </c>
      <c r="H521">
        <v>1860.15</v>
      </c>
      <c r="I521" t="str">
        <f>TEXT(SalesData[[#This Row],[Order Date]],"mmm-yyyy")</f>
        <v>Dec-2025</v>
      </c>
    </row>
    <row r="522" spans="1:9" x14ac:dyDescent="0.3">
      <c r="A522" s="1">
        <v>45738</v>
      </c>
      <c r="B522" t="s">
        <v>12</v>
      </c>
      <c r="C522" t="s">
        <v>22</v>
      </c>
      <c r="D522" t="s">
        <v>10</v>
      </c>
      <c r="E522" t="s">
        <v>13</v>
      </c>
      <c r="F522">
        <v>6</v>
      </c>
      <c r="G522">
        <v>71.319999999999993</v>
      </c>
      <c r="H522">
        <v>427.92</v>
      </c>
      <c r="I522" t="str">
        <f>TEXT(SalesData[[#This Row],[Order Date]],"mmm-yyyy")</f>
        <v>Mar-2025</v>
      </c>
    </row>
    <row r="523" spans="1:9" x14ac:dyDescent="0.3">
      <c r="A523" s="1">
        <v>45293</v>
      </c>
      <c r="B523" t="s">
        <v>12</v>
      </c>
      <c r="C523" t="s">
        <v>22</v>
      </c>
      <c r="D523" t="s">
        <v>10</v>
      </c>
      <c r="E523" t="s">
        <v>11</v>
      </c>
      <c r="F523">
        <v>6</v>
      </c>
      <c r="G523">
        <v>68.33</v>
      </c>
      <c r="H523">
        <v>409.98</v>
      </c>
      <c r="I523" t="str">
        <f>TEXT(SalesData[[#This Row],[Order Date]],"mmm-yyyy")</f>
        <v>Jan-2024</v>
      </c>
    </row>
    <row r="524" spans="1:9" x14ac:dyDescent="0.3">
      <c r="A524" s="1">
        <v>45824</v>
      </c>
      <c r="B524" t="s">
        <v>14</v>
      </c>
      <c r="C524" t="s">
        <v>9</v>
      </c>
      <c r="D524" t="s">
        <v>10</v>
      </c>
      <c r="E524" t="s">
        <v>17</v>
      </c>
      <c r="F524">
        <v>7</v>
      </c>
      <c r="G524">
        <v>32.82</v>
      </c>
      <c r="H524">
        <v>229.74</v>
      </c>
      <c r="I524" t="str">
        <f>TEXT(SalesData[[#This Row],[Order Date]],"mmm-yyyy")</f>
        <v>Jun-2025</v>
      </c>
    </row>
    <row r="525" spans="1:9" x14ac:dyDescent="0.3">
      <c r="A525" s="1">
        <v>45843</v>
      </c>
      <c r="B525" t="s">
        <v>20</v>
      </c>
      <c r="C525" t="s">
        <v>29</v>
      </c>
      <c r="D525" t="s">
        <v>30</v>
      </c>
      <c r="E525" t="s">
        <v>28</v>
      </c>
      <c r="F525">
        <v>6</v>
      </c>
      <c r="G525">
        <v>341.9</v>
      </c>
      <c r="H525">
        <v>2051.4</v>
      </c>
      <c r="I525" t="str">
        <f>TEXT(SalesData[[#This Row],[Order Date]],"mmm-yyyy")</f>
        <v>Jul-2025</v>
      </c>
    </row>
    <row r="526" spans="1:9" x14ac:dyDescent="0.3">
      <c r="A526" s="1">
        <v>45995</v>
      </c>
      <c r="B526" t="s">
        <v>20</v>
      </c>
      <c r="C526" t="s">
        <v>21</v>
      </c>
      <c r="D526" t="s">
        <v>10</v>
      </c>
      <c r="E526" t="s">
        <v>27</v>
      </c>
      <c r="F526">
        <v>8</v>
      </c>
      <c r="G526">
        <v>48.04</v>
      </c>
      <c r="H526">
        <v>384.32</v>
      </c>
      <c r="I526" t="str">
        <f>TEXT(SalesData[[#This Row],[Order Date]],"mmm-yyyy")</f>
        <v>Dec-2025</v>
      </c>
    </row>
    <row r="527" spans="1:9" x14ac:dyDescent="0.3">
      <c r="A527" s="1">
        <v>45978</v>
      </c>
      <c r="B527" t="s">
        <v>8</v>
      </c>
      <c r="C527" t="s">
        <v>18</v>
      </c>
      <c r="D527" t="s">
        <v>19</v>
      </c>
      <c r="E527" t="s">
        <v>27</v>
      </c>
      <c r="F527">
        <v>2</v>
      </c>
      <c r="G527">
        <v>894.36</v>
      </c>
      <c r="H527">
        <v>1788.72</v>
      </c>
      <c r="I527" t="str">
        <f>TEXT(SalesData[[#This Row],[Order Date]],"mmm-yyyy")</f>
        <v>Nov-2025</v>
      </c>
    </row>
    <row r="528" spans="1:9" x14ac:dyDescent="0.3">
      <c r="A528" s="1">
        <v>45493</v>
      </c>
      <c r="B528" t="s">
        <v>8</v>
      </c>
      <c r="C528" t="s">
        <v>24</v>
      </c>
      <c r="D528" t="s">
        <v>19</v>
      </c>
      <c r="E528" t="s">
        <v>17</v>
      </c>
      <c r="F528">
        <v>3</v>
      </c>
      <c r="G528">
        <v>245.74</v>
      </c>
      <c r="H528">
        <v>737.22</v>
      </c>
      <c r="I528" t="str">
        <f>TEXT(SalesData[[#This Row],[Order Date]],"mmm-yyyy")</f>
        <v>Jul-2024</v>
      </c>
    </row>
    <row r="529" spans="1:9" x14ac:dyDescent="0.3">
      <c r="A529" s="1">
        <v>45664</v>
      </c>
      <c r="B529" t="s">
        <v>14</v>
      </c>
      <c r="C529" t="s">
        <v>18</v>
      </c>
      <c r="D529" t="s">
        <v>19</v>
      </c>
      <c r="E529" t="s">
        <v>26</v>
      </c>
      <c r="F529">
        <v>7</v>
      </c>
      <c r="G529">
        <v>859.21</v>
      </c>
      <c r="H529">
        <v>6014.47</v>
      </c>
      <c r="I529" t="str">
        <f>TEXT(SalesData[[#This Row],[Order Date]],"mmm-yyyy")</f>
        <v>Jan-2025</v>
      </c>
    </row>
    <row r="530" spans="1:9" x14ac:dyDescent="0.3">
      <c r="A530" s="1">
        <v>45733</v>
      </c>
      <c r="B530" t="s">
        <v>20</v>
      </c>
      <c r="C530" t="s">
        <v>29</v>
      </c>
      <c r="D530" t="s">
        <v>30</v>
      </c>
      <c r="E530" t="s">
        <v>13</v>
      </c>
      <c r="F530">
        <v>3</v>
      </c>
      <c r="G530">
        <v>291.61</v>
      </c>
      <c r="H530">
        <v>874.83</v>
      </c>
      <c r="I530" t="str">
        <f>TEXT(SalesData[[#This Row],[Order Date]],"mmm-yyyy")</f>
        <v>Mar-2025</v>
      </c>
    </row>
    <row r="531" spans="1:9" x14ac:dyDescent="0.3">
      <c r="A531" s="1">
        <v>45363</v>
      </c>
      <c r="B531" t="s">
        <v>12</v>
      </c>
      <c r="C531" t="s">
        <v>25</v>
      </c>
      <c r="D531" t="s">
        <v>16</v>
      </c>
      <c r="E531" t="s">
        <v>28</v>
      </c>
      <c r="F531">
        <v>5</v>
      </c>
      <c r="G531">
        <v>193.13</v>
      </c>
      <c r="H531">
        <v>965.65</v>
      </c>
      <c r="I531" t="str">
        <f>TEXT(SalesData[[#This Row],[Order Date]],"mmm-yyyy")</f>
        <v>Mar-2024</v>
      </c>
    </row>
    <row r="532" spans="1:9" x14ac:dyDescent="0.3">
      <c r="A532" s="1">
        <v>45972</v>
      </c>
      <c r="B532" t="s">
        <v>8</v>
      </c>
      <c r="C532" t="s">
        <v>21</v>
      </c>
      <c r="D532" t="s">
        <v>10</v>
      </c>
      <c r="E532" t="s">
        <v>23</v>
      </c>
      <c r="F532">
        <v>1</v>
      </c>
      <c r="G532">
        <v>47.82</v>
      </c>
      <c r="H532">
        <v>47.82</v>
      </c>
      <c r="I532" t="str">
        <f>TEXT(SalesData[[#This Row],[Order Date]],"mmm-yyyy")</f>
        <v>Nov-2025</v>
      </c>
    </row>
    <row r="533" spans="1:9" x14ac:dyDescent="0.3">
      <c r="A533" s="1">
        <v>45630</v>
      </c>
      <c r="B533" t="s">
        <v>12</v>
      </c>
      <c r="C533" t="s">
        <v>9</v>
      </c>
      <c r="D533" t="s">
        <v>10</v>
      </c>
      <c r="E533" t="s">
        <v>13</v>
      </c>
      <c r="F533">
        <v>7</v>
      </c>
      <c r="G533">
        <v>33</v>
      </c>
      <c r="H533">
        <v>231</v>
      </c>
      <c r="I533" t="str">
        <f>TEXT(SalesData[[#This Row],[Order Date]],"mmm-yyyy")</f>
        <v>Dec-2024</v>
      </c>
    </row>
    <row r="534" spans="1:9" x14ac:dyDescent="0.3">
      <c r="A534" s="1">
        <v>45930</v>
      </c>
      <c r="B534" t="s">
        <v>8</v>
      </c>
      <c r="C534" t="s">
        <v>18</v>
      </c>
      <c r="D534" t="s">
        <v>19</v>
      </c>
      <c r="E534" t="s">
        <v>13</v>
      </c>
      <c r="F534">
        <v>4</v>
      </c>
      <c r="G534">
        <v>989.39</v>
      </c>
      <c r="H534">
        <v>3957.56</v>
      </c>
      <c r="I534" t="str">
        <f>TEXT(SalesData[[#This Row],[Order Date]],"mmm-yyyy")</f>
        <v>Sep-2025</v>
      </c>
    </row>
    <row r="535" spans="1:9" x14ac:dyDescent="0.3">
      <c r="A535" s="1">
        <v>45613</v>
      </c>
      <c r="B535" t="s">
        <v>8</v>
      </c>
      <c r="C535" t="s">
        <v>21</v>
      </c>
      <c r="D535" t="s">
        <v>10</v>
      </c>
      <c r="E535" t="s">
        <v>27</v>
      </c>
      <c r="F535">
        <v>4</v>
      </c>
      <c r="G535">
        <v>45.5</v>
      </c>
      <c r="H535">
        <v>182</v>
      </c>
      <c r="I535" t="str">
        <f>TEXT(SalesData[[#This Row],[Order Date]],"mmm-yyyy")</f>
        <v>Nov-2024</v>
      </c>
    </row>
    <row r="536" spans="1:9" x14ac:dyDescent="0.3">
      <c r="A536" s="1">
        <v>45971</v>
      </c>
      <c r="B536" t="s">
        <v>12</v>
      </c>
      <c r="C536" t="s">
        <v>18</v>
      </c>
      <c r="D536" t="s">
        <v>19</v>
      </c>
      <c r="E536" t="s">
        <v>11</v>
      </c>
      <c r="F536">
        <v>6</v>
      </c>
      <c r="G536">
        <v>948.42</v>
      </c>
      <c r="H536">
        <v>5690.52</v>
      </c>
      <c r="I536" t="str">
        <f>TEXT(SalesData[[#This Row],[Order Date]],"mmm-yyyy")</f>
        <v>Nov-2025</v>
      </c>
    </row>
    <row r="537" spans="1:9" x14ac:dyDescent="0.3">
      <c r="A537" s="1">
        <v>45419</v>
      </c>
      <c r="B537" t="s">
        <v>12</v>
      </c>
      <c r="C537" t="s">
        <v>21</v>
      </c>
      <c r="D537" t="s">
        <v>10</v>
      </c>
      <c r="E537" t="s">
        <v>31</v>
      </c>
      <c r="F537">
        <v>8</v>
      </c>
      <c r="G537">
        <v>49</v>
      </c>
      <c r="H537">
        <v>392</v>
      </c>
      <c r="I537" t="str">
        <f>TEXT(SalesData[[#This Row],[Order Date]],"mmm-yyyy")</f>
        <v>May-2024</v>
      </c>
    </row>
    <row r="538" spans="1:9" x14ac:dyDescent="0.3">
      <c r="A538" s="1">
        <v>45599</v>
      </c>
      <c r="B538" t="s">
        <v>12</v>
      </c>
      <c r="C538" t="s">
        <v>15</v>
      </c>
      <c r="D538" t="s">
        <v>16</v>
      </c>
      <c r="E538" t="s">
        <v>13</v>
      </c>
      <c r="F538">
        <v>2</v>
      </c>
      <c r="G538">
        <v>427.97</v>
      </c>
      <c r="H538">
        <v>855.94</v>
      </c>
      <c r="I538" t="str">
        <f>TEXT(SalesData[[#This Row],[Order Date]],"mmm-yyyy")</f>
        <v>Nov-2024</v>
      </c>
    </row>
    <row r="539" spans="1:9" x14ac:dyDescent="0.3">
      <c r="A539" s="1">
        <v>45811</v>
      </c>
      <c r="B539" t="s">
        <v>20</v>
      </c>
      <c r="C539" t="s">
        <v>25</v>
      </c>
      <c r="D539" t="s">
        <v>16</v>
      </c>
      <c r="E539" t="s">
        <v>26</v>
      </c>
      <c r="F539">
        <v>6</v>
      </c>
      <c r="G539">
        <v>170.9</v>
      </c>
      <c r="H539">
        <v>1025.4000000000001</v>
      </c>
      <c r="I539" t="str">
        <f>TEXT(SalesData[[#This Row],[Order Date]],"mmm-yyyy")</f>
        <v>Jun-2025</v>
      </c>
    </row>
    <row r="540" spans="1:9" x14ac:dyDescent="0.3">
      <c r="A540" s="1">
        <v>45608</v>
      </c>
      <c r="B540" t="s">
        <v>14</v>
      </c>
      <c r="C540" t="s">
        <v>15</v>
      </c>
      <c r="D540" t="s">
        <v>16</v>
      </c>
      <c r="E540" t="s">
        <v>13</v>
      </c>
      <c r="F540">
        <v>3</v>
      </c>
      <c r="G540">
        <v>396.04</v>
      </c>
      <c r="H540">
        <v>1188.1199999999999</v>
      </c>
      <c r="I540" t="str">
        <f>TEXT(SalesData[[#This Row],[Order Date]],"mmm-yyyy")</f>
        <v>Nov-2024</v>
      </c>
    </row>
    <row r="541" spans="1:9" x14ac:dyDescent="0.3">
      <c r="A541" s="1">
        <v>45974</v>
      </c>
      <c r="B541" t="s">
        <v>8</v>
      </c>
      <c r="C541" t="s">
        <v>18</v>
      </c>
      <c r="D541" t="s">
        <v>19</v>
      </c>
      <c r="E541" t="s">
        <v>28</v>
      </c>
      <c r="F541">
        <v>3</v>
      </c>
      <c r="G541">
        <v>833.25</v>
      </c>
      <c r="H541">
        <v>2499.75</v>
      </c>
      <c r="I541" t="str">
        <f>TEXT(SalesData[[#This Row],[Order Date]],"mmm-yyyy")</f>
        <v>Nov-2025</v>
      </c>
    </row>
    <row r="542" spans="1:9" x14ac:dyDescent="0.3">
      <c r="A542" s="1">
        <v>45710</v>
      </c>
      <c r="B542" t="s">
        <v>8</v>
      </c>
      <c r="C542" t="s">
        <v>9</v>
      </c>
      <c r="D542" t="s">
        <v>10</v>
      </c>
      <c r="E542" t="s">
        <v>17</v>
      </c>
      <c r="F542">
        <v>3</v>
      </c>
      <c r="G542">
        <v>32.72</v>
      </c>
      <c r="H542">
        <v>98.16</v>
      </c>
      <c r="I542" t="str">
        <f>TEXT(SalesData[[#This Row],[Order Date]],"mmm-yyyy")</f>
        <v>Feb-2025</v>
      </c>
    </row>
    <row r="543" spans="1:9" x14ac:dyDescent="0.3">
      <c r="A543" s="1">
        <v>45626</v>
      </c>
      <c r="B543" t="s">
        <v>12</v>
      </c>
      <c r="C543" t="s">
        <v>9</v>
      </c>
      <c r="D543" t="s">
        <v>10</v>
      </c>
      <c r="E543" t="s">
        <v>26</v>
      </c>
      <c r="F543">
        <v>2</v>
      </c>
      <c r="G543">
        <v>30.64</v>
      </c>
      <c r="H543">
        <v>61.28</v>
      </c>
      <c r="I543" t="str">
        <f>TEXT(SalesData[[#This Row],[Order Date]],"mmm-yyyy")</f>
        <v>Nov-2024</v>
      </c>
    </row>
    <row r="544" spans="1:9" x14ac:dyDescent="0.3">
      <c r="A544" s="1">
        <v>45704</v>
      </c>
      <c r="B544" t="s">
        <v>20</v>
      </c>
      <c r="C544" t="s">
        <v>24</v>
      </c>
      <c r="D544" t="s">
        <v>19</v>
      </c>
      <c r="E544" t="s">
        <v>11</v>
      </c>
      <c r="F544">
        <v>7</v>
      </c>
      <c r="G544">
        <v>236.43</v>
      </c>
      <c r="H544">
        <v>1655.01</v>
      </c>
      <c r="I544" t="str">
        <f>TEXT(SalesData[[#This Row],[Order Date]],"mmm-yyyy")</f>
        <v>Feb-2025</v>
      </c>
    </row>
    <row r="545" spans="1:9" x14ac:dyDescent="0.3">
      <c r="A545" s="1">
        <v>46005</v>
      </c>
      <c r="B545" t="s">
        <v>14</v>
      </c>
      <c r="C545" t="s">
        <v>25</v>
      </c>
      <c r="D545" t="s">
        <v>16</v>
      </c>
      <c r="E545" t="s">
        <v>23</v>
      </c>
      <c r="F545">
        <v>3</v>
      </c>
      <c r="G545">
        <v>186.18</v>
      </c>
      <c r="H545">
        <v>558.54</v>
      </c>
      <c r="I545" t="str">
        <f>TEXT(SalesData[[#This Row],[Order Date]],"mmm-yyyy")</f>
        <v>Dec-2025</v>
      </c>
    </row>
    <row r="546" spans="1:9" x14ac:dyDescent="0.3">
      <c r="A546" s="1">
        <v>45594</v>
      </c>
      <c r="B546" t="s">
        <v>20</v>
      </c>
      <c r="C546" t="s">
        <v>24</v>
      </c>
      <c r="D546" t="s">
        <v>19</v>
      </c>
      <c r="E546" t="s">
        <v>27</v>
      </c>
      <c r="F546">
        <v>4</v>
      </c>
      <c r="G546">
        <v>255.91</v>
      </c>
      <c r="H546">
        <v>1023.64</v>
      </c>
      <c r="I546" t="str">
        <f>TEXT(SalesData[[#This Row],[Order Date]],"mmm-yyyy")</f>
        <v>Oct-2024</v>
      </c>
    </row>
    <row r="547" spans="1:9" x14ac:dyDescent="0.3">
      <c r="A547" s="1">
        <v>45859</v>
      </c>
      <c r="B547" t="s">
        <v>14</v>
      </c>
      <c r="C547" t="s">
        <v>29</v>
      </c>
      <c r="D547" t="s">
        <v>30</v>
      </c>
      <c r="E547" t="s">
        <v>11</v>
      </c>
      <c r="F547">
        <v>4</v>
      </c>
      <c r="G547">
        <v>310.92</v>
      </c>
      <c r="H547">
        <v>1243.68</v>
      </c>
      <c r="I547" t="str">
        <f>TEXT(SalesData[[#This Row],[Order Date]],"mmm-yyyy")</f>
        <v>Jul-2025</v>
      </c>
    </row>
    <row r="548" spans="1:9" x14ac:dyDescent="0.3">
      <c r="A548" s="1">
        <v>45422</v>
      </c>
      <c r="B548" t="s">
        <v>14</v>
      </c>
      <c r="C548" t="s">
        <v>29</v>
      </c>
      <c r="D548" t="s">
        <v>30</v>
      </c>
      <c r="E548" t="s">
        <v>17</v>
      </c>
      <c r="F548">
        <v>1</v>
      </c>
      <c r="G548">
        <v>295.27</v>
      </c>
      <c r="H548">
        <v>295.27</v>
      </c>
      <c r="I548" t="str">
        <f>TEXT(SalesData[[#This Row],[Order Date]],"mmm-yyyy")</f>
        <v>May-2024</v>
      </c>
    </row>
    <row r="549" spans="1:9" x14ac:dyDescent="0.3">
      <c r="A549" s="1">
        <v>45488</v>
      </c>
      <c r="B549" t="s">
        <v>14</v>
      </c>
      <c r="C549" t="s">
        <v>15</v>
      </c>
      <c r="D549" t="s">
        <v>16</v>
      </c>
      <c r="E549" t="s">
        <v>17</v>
      </c>
      <c r="F549">
        <v>2</v>
      </c>
      <c r="G549">
        <v>413.73</v>
      </c>
      <c r="H549">
        <v>827.46</v>
      </c>
      <c r="I549" t="str">
        <f>TEXT(SalesData[[#This Row],[Order Date]],"mmm-yyyy")</f>
        <v>Jul-2024</v>
      </c>
    </row>
    <row r="550" spans="1:9" x14ac:dyDescent="0.3">
      <c r="A550" s="1">
        <v>45722</v>
      </c>
      <c r="B550" t="s">
        <v>20</v>
      </c>
      <c r="C550" t="s">
        <v>24</v>
      </c>
      <c r="D550" t="s">
        <v>19</v>
      </c>
      <c r="E550" t="s">
        <v>28</v>
      </c>
      <c r="F550">
        <v>1</v>
      </c>
      <c r="G550">
        <v>251.02</v>
      </c>
      <c r="H550">
        <v>251.02</v>
      </c>
      <c r="I550" t="str">
        <f>TEXT(SalesData[[#This Row],[Order Date]],"mmm-yyyy")</f>
        <v>Mar-2025</v>
      </c>
    </row>
    <row r="551" spans="1:9" x14ac:dyDescent="0.3">
      <c r="A551" s="1">
        <v>45972</v>
      </c>
      <c r="B551" t="s">
        <v>8</v>
      </c>
      <c r="C551" t="s">
        <v>21</v>
      </c>
      <c r="D551" t="s">
        <v>10</v>
      </c>
      <c r="E551" t="s">
        <v>28</v>
      </c>
      <c r="F551">
        <v>7</v>
      </c>
      <c r="G551">
        <v>47.45</v>
      </c>
      <c r="H551">
        <v>332.15</v>
      </c>
      <c r="I551" t="str">
        <f>TEXT(SalesData[[#This Row],[Order Date]],"mmm-yyyy")</f>
        <v>Nov-2025</v>
      </c>
    </row>
    <row r="552" spans="1:9" x14ac:dyDescent="0.3">
      <c r="A552" s="1">
        <v>45680</v>
      </c>
      <c r="B552" t="s">
        <v>12</v>
      </c>
      <c r="C552" t="s">
        <v>21</v>
      </c>
      <c r="D552" t="s">
        <v>10</v>
      </c>
      <c r="E552" t="s">
        <v>27</v>
      </c>
      <c r="F552">
        <v>8</v>
      </c>
      <c r="G552">
        <v>45.18</v>
      </c>
      <c r="H552">
        <v>361.44</v>
      </c>
      <c r="I552" t="str">
        <f>TEXT(SalesData[[#This Row],[Order Date]],"mmm-yyyy")</f>
        <v>Jan-2025</v>
      </c>
    </row>
    <row r="553" spans="1:9" x14ac:dyDescent="0.3">
      <c r="A553" s="1">
        <v>45985</v>
      </c>
      <c r="B553" t="s">
        <v>20</v>
      </c>
      <c r="C553" t="s">
        <v>24</v>
      </c>
      <c r="D553" t="s">
        <v>19</v>
      </c>
      <c r="E553" t="s">
        <v>31</v>
      </c>
      <c r="F553">
        <v>1</v>
      </c>
      <c r="G553">
        <v>267.61</v>
      </c>
      <c r="H553">
        <v>267.61</v>
      </c>
      <c r="I553" t="str">
        <f>TEXT(SalesData[[#This Row],[Order Date]],"mmm-yyyy")</f>
        <v>Nov-2025</v>
      </c>
    </row>
    <row r="554" spans="1:9" x14ac:dyDescent="0.3">
      <c r="A554" s="1">
        <v>45470</v>
      </c>
      <c r="B554" t="s">
        <v>8</v>
      </c>
      <c r="C554" t="s">
        <v>18</v>
      </c>
      <c r="D554" t="s">
        <v>19</v>
      </c>
      <c r="E554" t="s">
        <v>23</v>
      </c>
      <c r="F554">
        <v>1</v>
      </c>
      <c r="G554">
        <v>909.34</v>
      </c>
      <c r="H554">
        <v>909.34</v>
      </c>
      <c r="I554" t="str">
        <f>TEXT(SalesData[[#This Row],[Order Date]],"mmm-yyyy")</f>
        <v>Jun-2024</v>
      </c>
    </row>
    <row r="555" spans="1:9" x14ac:dyDescent="0.3">
      <c r="A555" s="1">
        <v>45922</v>
      </c>
      <c r="B555" t="s">
        <v>8</v>
      </c>
      <c r="C555" t="s">
        <v>15</v>
      </c>
      <c r="D555" t="s">
        <v>16</v>
      </c>
      <c r="E555" t="s">
        <v>13</v>
      </c>
      <c r="F555">
        <v>7</v>
      </c>
      <c r="G555">
        <v>404.88</v>
      </c>
      <c r="H555">
        <v>2834.16</v>
      </c>
      <c r="I555" t="str">
        <f>TEXT(SalesData[[#This Row],[Order Date]],"mmm-yyyy")</f>
        <v>Sep-2025</v>
      </c>
    </row>
    <row r="556" spans="1:9" x14ac:dyDescent="0.3">
      <c r="A556" s="1">
        <v>45874</v>
      </c>
      <c r="B556" t="s">
        <v>12</v>
      </c>
      <c r="C556" t="s">
        <v>21</v>
      </c>
      <c r="D556" t="s">
        <v>10</v>
      </c>
      <c r="E556" t="s">
        <v>23</v>
      </c>
      <c r="F556">
        <v>5</v>
      </c>
      <c r="G556">
        <v>48.39</v>
      </c>
      <c r="H556">
        <v>241.95</v>
      </c>
      <c r="I556" t="str">
        <f>TEXT(SalesData[[#This Row],[Order Date]],"mmm-yyyy")</f>
        <v>Aug-2025</v>
      </c>
    </row>
    <row r="557" spans="1:9" x14ac:dyDescent="0.3">
      <c r="A557" s="1">
        <v>45600</v>
      </c>
      <c r="B557" t="s">
        <v>14</v>
      </c>
      <c r="C557" t="s">
        <v>24</v>
      </c>
      <c r="D557" t="s">
        <v>19</v>
      </c>
      <c r="E557" t="s">
        <v>28</v>
      </c>
      <c r="F557">
        <v>4</v>
      </c>
      <c r="G557">
        <v>245.17</v>
      </c>
      <c r="H557">
        <v>980.68</v>
      </c>
      <c r="I557" t="str">
        <f>TEXT(SalesData[[#This Row],[Order Date]],"mmm-yyyy")</f>
        <v>Nov-2024</v>
      </c>
    </row>
    <row r="558" spans="1:9" x14ac:dyDescent="0.3">
      <c r="A558" s="1">
        <v>45707</v>
      </c>
      <c r="B558" t="s">
        <v>20</v>
      </c>
      <c r="C558" t="s">
        <v>15</v>
      </c>
      <c r="D558" t="s">
        <v>16</v>
      </c>
      <c r="E558" t="s">
        <v>11</v>
      </c>
      <c r="F558">
        <v>2</v>
      </c>
      <c r="G558">
        <v>370.72</v>
      </c>
      <c r="H558">
        <v>741.44</v>
      </c>
      <c r="I558" t="str">
        <f>TEXT(SalesData[[#This Row],[Order Date]],"mmm-yyyy")</f>
        <v>Feb-2025</v>
      </c>
    </row>
    <row r="559" spans="1:9" x14ac:dyDescent="0.3">
      <c r="A559" s="1">
        <v>45853</v>
      </c>
      <c r="B559" t="s">
        <v>14</v>
      </c>
      <c r="C559" t="s">
        <v>9</v>
      </c>
      <c r="D559" t="s">
        <v>10</v>
      </c>
      <c r="E559" t="s">
        <v>13</v>
      </c>
      <c r="F559">
        <v>1</v>
      </c>
      <c r="G559">
        <v>27.17</v>
      </c>
      <c r="H559">
        <v>27.17</v>
      </c>
      <c r="I559" t="str">
        <f>TEXT(SalesData[[#This Row],[Order Date]],"mmm-yyyy")</f>
        <v>Jul-2025</v>
      </c>
    </row>
    <row r="560" spans="1:9" x14ac:dyDescent="0.3">
      <c r="A560" s="1">
        <v>45292</v>
      </c>
      <c r="B560" t="s">
        <v>8</v>
      </c>
      <c r="C560" t="s">
        <v>15</v>
      </c>
      <c r="D560" t="s">
        <v>16</v>
      </c>
      <c r="E560" t="s">
        <v>27</v>
      </c>
      <c r="F560">
        <v>2</v>
      </c>
      <c r="G560">
        <v>420.41</v>
      </c>
      <c r="H560">
        <v>840.82</v>
      </c>
      <c r="I560" t="str">
        <f>TEXT(SalesData[[#This Row],[Order Date]],"mmm-yyyy")</f>
        <v>Jan-2024</v>
      </c>
    </row>
    <row r="561" spans="1:9" x14ac:dyDescent="0.3">
      <c r="A561" s="1">
        <v>45603</v>
      </c>
      <c r="B561" t="s">
        <v>12</v>
      </c>
      <c r="C561" t="s">
        <v>29</v>
      </c>
      <c r="D561" t="s">
        <v>30</v>
      </c>
      <c r="E561" t="s">
        <v>27</v>
      </c>
      <c r="F561">
        <v>3</v>
      </c>
      <c r="G561">
        <v>327.7</v>
      </c>
      <c r="H561">
        <v>983.1</v>
      </c>
      <c r="I561" t="str">
        <f>TEXT(SalesData[[#This Row],[Order Date]],"mmm-yyyy")</f>
        <v>Nov-2024</v>
      </c>
    </row>
    <row r="562" spans="1:9" x14ac:dyDescent="0.3">
      <c r="A562" s="1">
        <v>45585</v>
      </c>
      <c r="B562" t="s">
        <v>14</v>
      </c>
      <c r="C562" t="s">
        <v>21</v>
      </c>
      <c r="D562" t="s">
        <v>10</v>
      </c>
      <c r="E562" t="s">
        <v>17</v>
      </c>
      <c r="F562">
        <v>1</v>
      </c>
      <c r="G562">
        <v>46.84</v>
      </c>
      <c r="H562">
        <v>46.84</v>
      </c>
      <c r="I562" t="str">
        <f>TEXT(SalesData[[#This Row],[Order Date]],"mmm-yyyy")</f>
        <v>Oct-2024</v>
      </c>
    </row>
    <row r="563" spans="1:9" x14ac:dyDescent="0.3">
      <c r="A563" s="1">
        <v>45507</v>
      </c>
      <c r="B563" t="s">
        <v>14</v>
      </c>
      <c r="C563" t="s">
        <v>25</v>
      </c>
      <c r="D563" t="s">
        <v>16</v>
      </c>
      <c r="E563" t="s">
        <v>28</v>
      </c>
      <c r="F563">
        <v>5</v>
      </c>
      <c r="G563">
        <v>169.67</v>
      </c>
      <c r="H563">
        <v>848.35</v>
      </c>
      <c r="I563" t="str">
        <f>TEXT(SalesData[[#This Row],[Order Date]],"mmm-yyyy")</f>
        <v>Aug-2024</v>
      </c>
    </row>
    <row r="564" spans="1:9" x14ac:dyDescent="0.3">
      <c r="A564" s="1">
        <v>45732</v>
      </c>
      <c r="B564" t="s">
        <v>12</v>
      </c>
      <c r="C564" t="s">
        <v>21</v>
      </c>
      <c r="D564" t="s">
        <v>10</v>
      </c>
      <c r="E564" t="s">
        <v>27</v>
      </c>
      <c r="F564">
        <v>5</v>
      </c>
      <c r="G564">
        <v>41.73</v>
      </c>
      <c r="H564">
        <v>208.65</v>
      </c>
      <c r="I564" t="str">
        <f>TEXT(SalesData[[#This Row],[Order Date]],"mmm-yyyy")</f>
        <v>Mar-2025</v>
      </c>
    </row>
    <row r="565" spans="1:9" x14ac:dyDescent="0.3">
      <c r="A565" s="1">
        <v>45885</v>
      </c>
      <c r="B565" t="s">
        <v>20</v>
      </c>
      <c r="C565" t="s">
        <v>25</v>
      </c>
      <c r="D565" t="s">
        <v>16</v>
      </c>
      <c r="E565" t="s">
        <v>13</v>
      </c>
      <c r="F565">
        <v>7</v>
      </c>
      <c r="G565">
        <v>162.52000000000001</v>
      </c>
      <c r="H565">
        <v>1137.6400000000001</v>
      </c>
      <c r="I565" t="str">
        <f>TEXT(SalesData[[#This Row],[Order Date]],"mmm-yyyy")</f>
        <v>Aug-2025</v>
      </c>
    </row>
    <row r="566" spans="1:9" x14ac:dyDescent="0.3">
      <c r="A566" s="1">
        <v>45913</v>
      </c>
      <c r="B566" t="s">
        <v>8</v>
      </c>
      <c r="C566" t="s">
        <v>29</v>
      </c>
      <c r="D566" t="s">
        <v>30</v>
      </c>
      <c r="E566" t="s">
        <v>17</v>
      </c>
      <c r="F566">
        <v>2</v>
      </c>
      <c r="G566">
        <v>310.44</v>
      </c>
      <c r="H566">
        <v>620.88</v>
      </c>
      <c r="I566" t="str">
        <f>TEXT(SalesData[[#This Row],[Order Date]],"mmm-yyyy")</f>
        <v>Sep-2025</v>
      </c>
    </row>
    <row r="567" spans="1:9" x14ac:dyDescent="0.3">
      <c r="A567" s="1">
        <v>45962</v>
      </c>
      <c r="B567" t="s">
        <v>8</v>
      </c>
      <c r="C567" t="s">
        <v>25</v>
      </c>
      <c r="D567" t="s">
        <v>16</v>
      </c>
      <c r="E567" t="s">
        <v>26</v>
      </c>
      <c r="F567">
        <v>1</v>
      </c>
      <c r="G567">
        <v>183.24</v>
      </c>
      <c r="H567">
        <v>183.24</v>
      </c>
      <c r="I567" t="str">
        <f>TEXT(SalesData[[#This Row],[Order Date]],"mmm-yyyy")</f>
        <v>Nov-2025</v>
      </c>
    </row>
    <row r="568" spans="1:9" x14ac:dyDescent="0.3">
      <c r="A568" s="1">
        <v>45621</v>
      </c>
      <c r="B568" t="s">
        <v>20</v>
      </c>
      <c r="C568" t="s">
        <v>25</v>
      </c>
      <c r="D568" t="s">
        <v>16</v>
      </c>
      <c r="E568" t="s">
        <v>13</v>
      </c>
      <c r="F568">
        <v>3</v>
      </c>
      <c r="G568">
        <v>176.12</v>
      </c>
      <c r="H568">
        <v>528.36</v>
      </c>
      <c r="I568" t="str">
        <f>TEXT(SalesData[[#This Row],[Order Date]],"mmm-yyyy")</f>
        <v>Nov-2024</v>
      </c>
    </row>
    <row r="569" spans="1:9" x14ac:dyDescent="0.3">
      <c r="A569" s="1">
        <v>45768</v>
      </c>
      <c r="B569" t="s">
        <v>12</v>
      </c>
      <c r="C569" t="s">
        <v>24</v>
      </c>
      <c r="D569" t="s">
        <v>19</v>
      </c>
      <c r="E569" t="s">
        <v>27</v>
      </c>
      <c r="F569">
        <v>4</v>
      </c>
      <c r="G569">
        <v>246.87</v>
      </c>
      <c r="H569">
        <v>987.48</v>
      </c>
      <c r="I569" t="str">
        <f>TEXT(SalesData[[#This Row],[Order Date]],"mmm-yyyy")</f>
        <v>Apr-2025</v>
      </c>
    </row>
    <row r="570" spans="1:9" x14ac:dyDescent="0.3">
      <c r="A570" s="1">
        <v>45744</v>
      </c>
      <c r="B570" t="s">
        <v>12</v>
      </c>
      <c r="C570" t="s">
        <v>18</v>
      </c>
      <c r="D570" t="s">
        <v>19</v>
      </c>
      <c r="E570" t="s">
        <v>17</v>
      </c>
      <c r="F570">
        <v>4</v>
      </c>
      <c r="G570">
        <v>972.75</v>
      </c>
      <c r="H570">
        <v>3891</v>
      </c>
      <c r="I570" t="str">
        <f>TEXT(SalesData[[#This Row],[Order Date]],"mmm-yyyy")</f>
        <v>Mar-2025</v>
      </c>
    </row>
    <row r="571" spans="1:9" x14ac:dyDescent="0.3">
      <c r="A571" s="1">
        <v>45744</v>
      </c>
      <c r="B571" t="s">
        <v>14</v>
      </c>
      <c r="C571" t="s">
        <v>25</v>
      </c>
      <c r="D571" t="s">
        <v>16</v>
      </c>
      <c r="E571" t="s">
        <v>26</v>
      </c>
      <c r="F571">
        <v>7</v>
      </c>
      <c r="G571">
        <v>174.54</v>
      </c>
      <c r="H571">
        <v>1221.78</v>
      </c>
      <c r="I571" t="str">
        <f>TEXT(SalesData[[#This Row],[Order Date]],"mmm-yyyy")</f>
        <v>Mar-2025</v>
      </c>
    </row>
    <row r="572" spans="1:9" x14ac:dyDescent="0.3">
      <c r="A572" s="1">
        <v>45983</v>
      </c>
      <c r="B572" t="s">
        <v>14</v>
      </c>
      <c r="C572" t="s">
        <v>18</v>
      </c>
      <c r="D572" t="s">
        <v>19</v>
      </c>
      <c r="E572" t="s">
        <v>28</v>
      </c>
      <c r="F572">
        <v>7</v>
      </c>
      <c r="G572">
        <v>902.52</v>
      </c>
      <c r="H572">
        <v>6317.64</v>
      </c>
      <c r="I572" t="str">
        <f>TEXT(SalesData[[#This Row],[Order Date]],"mmm-yyyy")</f>
        <v>Nov-2025</v>
      </c>
    </row>
    <row r="573" spans="1:9" x14ac:dyDescent="0.3">
      <c r="A573" s="1">
        <v>45510</v>
      </c>
      <c r="B573" t="s">
        <v>20</v>
      </c>
      <c r="C573" t="s">
        <v>9</v>
      </c>
      <c r="D573" t="s">
        <v>10</v>
      </c>
      <c r="E573" t="s">
        <v>23</v>
      </c>
      <c r="F573">
        <v>7</v>
      </c>
      <c r="G573">
        <v>31.7</v>
      </c>
      <c r="H573">
        <v>221.9</v>
      </c>
      <c r="I573" t="str">
        <f>TEXT(SalesData[[#This Row],[Order Date]],"mmm-yyyy")</f>
        <v>Aug-2024</v>
      </c>
    </row>
    <row r="574" spans="1:9" x14ac:dyDescent="0.3">
      <c r="A574" s="1">
        <v>45815</v>
      </c>
      <c r="B574" t="s">
        <v>12</v>
      </c>
      <c r="C574" t="s">
        <v>24</v>
      </c>
      <c r="D574" t="s">
        <v>19</v>
      </c>
      <c r="E574" t="s">
        <v>27</v>
      </c>
      <c r="F574">
        <v>6</v>
      </c>
      <c r="G574">
        <v>244.83</v>
      </c>
      <c r="H574">
        <v>1468.98</v>
      </c>
      <c r="I574" t="str">
        <f>TEXT(SalesData[[#This Row],[Order Date]],"mmm-yyyy")</f>
        <v>Jun-2025</v>
      </c>
    </row>
    <row r="575" spans="1:9" x14ac:dyDescent="0.3">
      <c r="A575" s="1">
        <v>45776</v>
      </c>
      <c r="B575" t="s">
        <v>12</v>
      </c>
      <c r="C575" t="s">
        <v>21</v>
      </c>
      <c r="D575" t="s">
        <v>10</v>
      </c>
      <c r="E575" t="s">
        <v>11</v>
      </c>
      <c r="F575">
        <v>4</v>
      </c>
      <c r="G575">
        <v>46.1</v>
      </c>
      <c r="H575">
        <v>184.4</v>
      </c>
      <c r="I575" t="str">
        <f>TEXT(SalesData[[#This Row],[Order Date]],"mmm-yyyy")</f>
        <v>Apr-2025</v>
      </c>
    </row>
    <row r="576" spans="1:9" x14ac:dyDescent="0.3">
      <c r="A576" s="1">
        <v>45465</v>
      </c>
      <c r="B576" t="s">
        <v>20</v>
      </c>
      <c r="C576" t="s">
        <v>24</v>
      </c>
      <c r="D576" t="s">
        <v>19</v>
      </c>
      <c r="E576" t="s">
        <v>23</v>
      </c>
      <c r="F576">
        <v>8</v>
      </c>
      <c r="G576">
        <v>268.12</v>
      </c>
      <c r="H576">
        <v>2144.96</v>
      </c>
      <c r="I576" t="str">
        <f>TEXT(SalesData[[#This Row],[Order Date]],"mmm-yyyy")</f>
        <v>Jun-2024</v>
      </c>
    </row>
    <row r="577" spans="1:9" x14ac:dyDescent="0.3">
      <c r="A577" s="1">
        <v>45966</v>
      </c>
      <c r="B577" t="s">
        <v>8</v>
      </c>
      <c r="C577" t="s">
        <v>25</v>
      </c>
      <c r="D577" t="s">
        <v>16</v>
      </c>
      <c r="E577" t="s">
        <v>27</v>
      </c>
      <c r="F577">
        <v>2</v>
      </c>
      <c r="G577">
        <v>196.18</v>
      </c>
      <c r="H577">
        <v>392.36</v>
      </c>
      <c r="I577" t="str">
        <f>TEXT(SalesData[[#This Row],[Order Date]],"mmm-yyyy")</f>
        <v>Nov-2025</v>
      </c>
    </row>
    <row r="578" spans="1:9" x14ac:dyDescent="0.3">
      <c r="A578" s="1">
        <v>45378</v>
      </c>
      <c r="B578" t="s">
        <v>20</v>
      </c>
      <c r="C578" t="s">
        <v>25</v>
      </c>
      <c r="D578" t="s">
        <v>16</v>
      </c>
      <c r="E578" t="s">
        <v>23</v>
      </c>
      <c r="F578">
        <v>4</v>
      </c>
      <c r="G578">
        <v>167.29</v>
      </c>
      <c r="H578">
        <v>669.16</v>
      </c>
      <c r="I578" t="str">
        <f>TEXT(SalesData[[#This Row],[Order Date]],"mmm-yyyy")</f>
        <v>Mar-2024</v>
      </c>
    </row>
    <row r="579" spans="1:9" x14ac:dyDescent="0.3">
      <c r="A579" s="1">
        <v>45582</v>
      </c>
      <c r="B579" t="s">
        <v>20</v>
      </c>
      <c r="C579" t="s">
        <v>9</v>
      </c>
      <c r="D579" t="s">
        <v>10</v>
      </c>
      <c r="E579" t="s">
        <v>17</v>
      </c>
      <c r="F579">
        <v>8</v>
      </c>
      <c r="G579">
        <v>32.56</v>
      </c>
      <c r="H579">
        <v>260.48</v>
      </c>
      <c r="I579" t="str">
        <f>TEXT(SalesData[[#This Row],[Order Date]],"mmm-yyyy")</f>
        <v>Oct-2024</v>
      </c>
    </row>
    <row r="580" spans="1:9" x14ac:dyDescent="0.3">
      <c r="A580" s="1">
        <v>45819</v>
      </c>
      <c r="B580" t="s">
        <v>14</v>
      </c>
      <c r="C580" t="s">
        <v>9</v>
      </c>
      <c r="D580" t="s">
        <v>10</v>
      </c>
      <c r="E580" t="s">
        <v>27</v>
      </c>
      <c r="F580">
        <v>4</v>
      </c>
      <c r="G580">
        <v>29.95</v>
      </c>
      <c r="H580">
        <v>119.8</v>
      </c>
      <c r="I580" t="str">
        <f>TEXT(SalesData[[#This Row],[Order Date]],"mmm-yyyy")</f>
        <v>Jun-2025</v>
      </c>
    </row>
    <row r="581" spans="1:9" x14ac:dyDescent="0.3">
      <c r="A581" s="1">
        <v>45971</v>
      </c>
      <c r="B581" t="s">
        <v>14</v>
      </c>
      <c r="C581" t="s">
        <v>15</v>
      </c>
      <c r="D581" t="s">
        <v>16</v>
      </c>
      <c r="E581" t="s">
        <v>28</v>
      </c>
      <c r="F581">
        <v>1</v>
      </c>
      <c r="G581">
        <v>380.66</v>
      </c>
      <c r="H581">
        <v>380.66</v>
      </c>
      <c r="I581" t="str">
        <f>TEXT(SalesData[[#This Row],[Order Date]],"mmm-yyyy")</f>
        <v>Nov-2025</v>
      </c>
    </row>
    <row r="582" spans="1:9" x14ac:dyDescent="0.3">
      <c r="A582" s="1">
        <v>45940</v>
      </c>
      <c r="B582" t="s">
        <v>12</v>
      </c>
      <c r="C582" t="s">
        <v>18</v>
      </c>
      <c r="D582" t="s">
        <v>19</v>
      </c>
      <c r="E582" t="s">
        <v>11</v>
      </c>
      <c r="F582">
        <v>6</v>
      </c>
      <c r="G582">
        <v>892.64</v>
      </c>
      <c r="H582">
        <v>5355.84</v>
      </c>
      <c r="I582" t="str">
        <f>TEXT(SalesData[[#This Row],[Order Date]],"mmm-yyyy")</f>
        <v>Oct-2025</v>
      </c>
    </row>
    <row r="583" spans="1:9" x14ac:dyDescent="0.3">
      <c r="A583" s="1">
        <v>45926</v>
      </c>
      <c r="B583" t="s">
        <v>14</v>
      </c>
      <c r="C583" t="s">
        <v>29</v>
      </c>
      <c r="D583" t="s">
        <v>30</v>
      </c>
      <c r="E583" t="s">
        <v>31</v>
      </c>
      <c r="F583">
        <v>2</v>
      </c>
      <c r="G583">
        <v>350.72</v>
      </c>
      <c r="H583">
        <v>701.44</v>
      </c>
      <c r="I583" t="str">
        <f>TEXT(SalesData[[#This Row],[Order Date]],"mmm-yyyy")</f>
        <v>Sep-2025</v>
      </c>
    </row>
    <row r="584" spans="1:9" x14ac:dyDescent="0.3">
      <c r="A584" s="1">
        <v>45635</v>
      </c>
      <c r="B584" t="s">
        <v>12</v>
      </c>
      <c r="C584" t="s">
        <v>15</v>
      </c>
      <c r="D584" t="s">
        <v>16</v>
      </c>
      <c r="E584" t="s">
        <v>26</v>
      </c>
      <c r="F584">
        <v>8</v>
      </c>
      <c r="G584">
        <v>399.41</v>
      </c>
      <c r="H584">
        <v>3195.28</v>
      </c>
      <c r="I584" t="str">
        <f>TEXT(SalesData[[#This Row],[Order Date]],"mmm-yyyy")</f>
        <v>Dec-2024</v>
      </c>
    </row>
    <row r="585" spans="1:9" x14ac:dyDescent="0.3">
      <c r="A585" s="1">
        <v>45387</v>
      </c>
      <c r="B585" t="s">
        <v>12</v>
      </c>
      <c r="C585" t="s">
        <v>29</v>
      </c>
      <c r="D585" t="s">
        <v>30</v>
      </c>
      <c r="E585" t="s">
        <v>31</v>
      </c>
      <c r="F585">
        <v>2</v>
      </c>
      <c r="G585">
        <v>309.04000000000002</v>
      </c>
      <c r="H585">
        <v>618.08000000000004</v>
      </c>
      <c r="I585" t="str">
        <f>TEXT(SalesData[[#This Row],[Order Date]],"mmm-yyyy")</f>
        <v>Apr-2024</v>
      </c>
    </row>
    <row r="586" spans="1:9" x14ac:dyDescent="0.3">
      <c r="A586" s="1">
        <v>45532</v>
      </c>
      <c r="B586" t="s">
        <v>8</v>
      </c>
      <c r="C586" t="s">
        <v>15</v>
      </c>
      <c r="D586" t="s">
        <v>16</v>
      </c>
      <c r="E586" t="s">
        <v>13</v>
      </c>
      <c r="F586">
        <v>6</v>
      </c>
      <c r="G586">
        <v>410.67</v>
      </c>
      <c r="H586">
        <v>2464.02</v>
      </c>
      <c r="I586" t="str">
        <f>TEXT(SalesData[[#This Row],[Order Date]],"mmm-yyyy")</f>
        <v>Aug-2024</v>
      </c>
    </row>
    <row r="587" spans="1:9" x14ac:dyDescent="0.3">
      <c r="A587" s="1">
        <v>45980</v>
      </c>
      <c r="B587" t="s">
        <v>8</v>
      </c>
      <c r="C587" t="s">
        <v>24</v>
      </c>
      <c r="D587" t="s">
        <v>19</v>
      </c>
      <c r="E587" t="s">
        <v>13</v>
      </c>
      <c r="F587">
        <v>3</v>
      </c>
      <c r="G587">
        <v>237.01</v>
      </c>
      <c r="H587">
        <v>711.03</v>
      </c>
      <c r="I587" t="str">
        <f>TEXT(SalesData[[#This Row],[Order Date]],"mmm-yyyy")</f>
        <v>Nov-2025</v>
      </c>
    </row>
    <row r="588" spans="1:9" x14ac:dyDescent="0.3">
      <c r="A588" s="1">
        <v>45609</v>
      </c>
      <c r="B588" t="s">
        <v>14</v>
      </c>
      <c r="C588" t="s">
        <v>18</v>
      </c>
      <c r="D588" t="s">
        <v>19</v>
      </c>
      <c r="E588" t="s">
        <v>31</v>
      </c>
      <c r="F588">
        <v>7</v>
      </c>
      <c r="G588">
        <v>823.66</v>
      </c>
      <c r="H588">
        <v>5765.62</v>
      </c>
      <c r="I588" t="str">
        <f>TEXT(SalesData[[#This Row],[Order Date]],"mmm-yyyy")</f>
        <v>Nov-2024</v>
      </c>
    </row>
    <row r="589" spans="1:9" x14ac:dyDescent="0.3">
      <c r="A589" s="1">
        <v>45522</v>
      </c>
      <c r="B589" t="s">
        <v>20</v>
      </c>
      <c r="C589" t="s">
        <v>29</v>
      </c>
      <c r="D589" t="s">
        <v>30</v>
      </c>
      <c r="E589" t="s">
        <v>11</v>
      </c>
      <c r="F589">
        <v>5</v>
      </c>
      <c r="G589">
        <v>296.25</v>
      </c>
      <c r="H589">
        <v>1481.25</v>
      </c>
      <c r="I589" t="str">
        <f>TEXT(SalesData[[#This Row],[Order Date]],"mmm-yyyy")</f>
        <v>Aug-2024</v>
      </c>
    </row>
    <row r="590" spans="1:9" x14ac:dyDescent="0.3">
      <c r="A590" s="1">
        <v>45495</v>
      </c>
      <c r="B590" t="s">
        <v>8</v>
      </c>
      <c r="C590" t="s">
        <v>25</v>
      </c>
      <c r="D590" t="s">
        <v>16</v>
      </c>
      <c r="E590" t="s">
        <v>23</v>
      </c>
      <c r="F590">
        <v>6</v>
      </c>
      <c r="G590">
        <v>166.61</v>
      </c>
      <c r="H590">
        <v>999.66</v>
      </c>
      <c r="I590" t="str">
        <f>TEXT(SalesData[[#This Row],[Order Date]],"mmm-yyyy")</f>
        <v>Jul-2024</v>
      </c>
    </row>
    <row r="591" spans="1:9" x14ac:dyDescent="0.3">
      <c r="A591" s="1">
        <v>45442</v>
      </c>
      <c r="B591" t="s">
        <v>14</v>
      </c>
      <c r="C591" t="s">
        <v>9</v>
      </c>
      <c r="D591" t="s">
        <v>10</v>
      </c>
      <c r="E591" t="s">
        <v>26</v>
      </c>
      <c r="F591">
        <v>2</v>
      </c>
      <c r="G591">
        <v>27.91</v>
      </c>
      <c r="H591">
        <v>55.82</v>
      </c>
      <c r="I591" t="str">
        <f>TEXT(SalesData[[#This Row],[Order Date]],"mmm-yyyy")</f>
        <v>May-2024</v>
      </c>
    </row>
    <row r="592" spans="1:9" x14ac:dyDescent="0.3">
      <c r="A592" s="1">
        <v>45317</v>
      </c>
      <c r="B592" t="s">
        <v>12</v>
      </c>
      <c r="C592" t="s">
        <v>24</v>
      </c>
      <c r="D592" t="s">
        <v>19</v>
      </c>
      <c r="E592" t="s">
        <v>26</v>
      </c>
      <c r="F592">
        <v>3</v>
      </c>
      <c r="G592">
        <v>231.94</v>
      </c>
      <c r="H592">
        <v>695.82</v>
      </c>
      <c r="I592" t="str">
        <f>TEXT(SalesData[[#This Row],[Order Date]],"mmm-yyyy")</f>
        <v>Jan-2024</v>
      </c>
    </row>
    <row r="593" spans="1:9" x14ac:dyDescent="0.3">
      <c r="A593" s="1">
        <v>45339</v>
      </c>
      <c r="B593" t="s">
        <v>20</v>
      </c>
      <c r="C593" t="s">
        <v>22</v>
      </c>
      <c r="D593" t="s">
        <v>10</v>
      </c>
      <c r="E593" t="s">
        <v>11</v>
      </c>
      <c r="F593">
        <v>8</v>
      </c>
      <c r="G593">
        <v>71.97</v>
      </c>
      <c r="H593">
        <v>575.76</v>
      </c>
      <c r="I593" t="str">
        <f>TEXT(SalesData[[#This Row],[Order Date]],"mmm-yyyy")</f>
        <v>Feb-2024</v>
      </c>
    </row>
    <row r="594" spans="1:9" x14ac:dyDescent="0.3">
      <c r="A594" s="1">
        <v>45542</v>
      </c>
      <c r="B594" t="s">
        <v>14</v>
      </c>
      <c r="C594" t="s">
        <v>24</v>
      </c>
      <c r="D594" t="s">
        <v>19</v>
      </c>
      <c r="E594" t="s">
        <v>17</v>
      </c>
      <c r="F594">
        <v>6</v>
      </c>
      <c r="G594">
        <v>234.09</v>
      </c>
      <c r="H594">
        <v>1404.54</v>
      </c>
      <c r="I594" t="str">
        <f>TEXT(SalesData[[#This Row],[Order Date]],"mmm-yyyy")</f>
        <v>Sep-2024</v>
      </c>
    </row>
    <row r="595" spans="1:9" x14ac:dyDescent="0.3">
      <c r="A595" s="1">
        <v>45778</v>
      </c>
      <c r="B595" t="s">
        <v>20</v>
      </c>
      <c r="C595" t="s">
        <v>29</v>
      </c>
      <c r="D595" t="s">
        <v>30</v>
      </c>
      <c r="E595" t="s">
        <v>13</v>
      </c>
      <c r="F595">
        <v>8</v>
      </c>
      <c r="G595">
        <v>310.12</v>
      </c>
      <c r="H595">
        <v>2480.96</v>
      </c>
      <c r="I595" t="str">
        <f>TEXT(SalesData[[#This Row],[Order Date]],"mmm-yyyy")</f>
        <v>May-2025</v>
      </c>
    </row>
    <row r="596" spans="1:9" x14ac:dyDescent="0.3">
      <c r="A596" s="1">
        <v>45917</v>
      </c>
      <c r="B596" t="s">
        <v>20</v>
      </c>
      <c r="C596" t="s">
        <v>24</v>
      </c>
      <c r="D596" t="s">
        <v>19</v>
      </c>
      <c r="E596" t="s">
        <v>27</v>
      </c>
      <c r="F596">
        <v>3</v>
      </c>
      <c r="G596">
        <v>269.83999999999997</v>
      </c>
      <c r="H596">
        <v>809.52</v>
      </c>
      <c r="I596" t="str">
        <f>TEXT(SalesData[[#This Row],[Order Date]],"mmm-yyyy")</f>
        <v>Sep-2025</v>
      </c>
    </row>
    <row r="597" spans="1:9" x14ac:dyDescent="0.3">
      <c r="A597" s="1">
        <v>45366</v>
      </c>
      <c r="B597" t="s">
        <v>14</v>
      </c>
      <c r="C597" t="s">
        <v>9</v>
      </c>
      <c r="D597" t="s">
        <v>10</v>
      </c>
      <c r="E597" t="s">
        <v>13</v>
      </c>
      <c r="F597">
        <v>6</v>
      </c>
      <c r="G597">
        <v>29.84</v>
      </c>
      <c r="H597">
        <v>179.04</v>
      </c>
      <c r="I597" t="str">
        <f>TEXT(SalesData[[#This Row],[Order Date]],"mmm-yyyy")</f>
        <v>Mar-2024</v>
      </c>
    </row>
    <row r="598" spans="1:9" x14ac:dyDescent="0.3">
      <c r="A598" s="1">
        <v>45758</v>
      </c>
      <c r="B598" t="s">
        <v>8</v>
      </c>
      <c r="C598" t="s">
        <v>9</v>
      </c>
      <c r="D598" t="s">
        <v>10</v>
      </c>
      <c r="E598" t="s">
        <v>27</v>
      </c>
      <c r="F598">
        <v>6</v>
      </c>
      <c r="G598">
        <v>31.01</v>
      </c>
      <c r="H598">
        <v>186.06</v>
      </c>
      <c r="I598" t="str">
        <f>TEXT(SalesData[[#This Row],[Order Date]],"mmm-yyyy")</f>
        <v>Apr-2025</v>
      </c>
    </row>
    <row r="599" spans="1:9" x14ac:dyDescent="0.3">
      <c r="A599" s="1">
        <v>45716</v>
      </c>
      <c r="B599" t="s">
        <v>14</v>
      </c>
      <c r="C599" t="s">
        <v>29</v>
      </c>
      <c r="D599" t="s">
        <v>30</v>
      </c>
      <c r="E599" t="s">
        <v>27</v>
      </c>
      <c r="F599">
        <v>5</v>
      </c>
      <c r="G599">
        <v>299.02999999999997</v>
      </c>
      <c r="H599">
        <v>1495.15</v>
      </c>
      <c r="I599" t="str">
        <f>TEXT(SalesData[[#This Row],[Order Date]],"mmm-yyyy")</f>
        <v>Feb-2025</v>
      </c>
    </row>
    <row r="600" spans="1:9" x14ac:dyDescent="0.3">
      <c r="A600" s="1">
        <v>45936</v>
      </c>
      <c r="B600" t="s">
        <v>14</v>
      </c>
      <c r="C600" t="s">
        <v>15</v>
      </c>
      <c r="D600" t="s">
        <v>16</v>
      </c>
      <c r="E600" t="s">
        <v>13</v>
      </c>
      <c r="F600">
        <v>8</v>
      </c>
      <c r="G600">
        <v>375.38</v>
      </c>
      <c r="H600">
        <v>3003.04</v>
      </c>
      <c r="I600" t="str">
        <f>TEXT(SalesData[[#This Row],[Order Date]],"mmm-yyyy")</f>
        <v>Oct-2025</v>
      </c>
    </row>
    <row r="601" spans="1:9" x14ac:dyDescent="0.3">
      <c r="A601" s="1">
        <v>45881</v>
      </c>
      <c r="B601" t="s">
        <v>14</v>
      </c>
      <c r="C601" t="s">
        <v>22</v>
      </c>
      <c r="D601" t="s">
        <v>10</v>
      </c>
      <c r="E601" t="s">
        <v>13</v>
      </c>
      <c r="F601">
        <v>2</v>
      </c>
      <c r="G601">
        <v>63.57</v>
      </c>
      <c r="H601">
        <v>127.14</v>
      </c>
      <c r="I601" t="str">
        <f>TEXT(SalesData[[#This Row],[Order Date]],"mmm-yyyy")</f>
        <v>Aug-2025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Pivot Table 1 — Monthly Revenue</vt:lpstr>
      <vt:lpstr>Pivot Table 2 — Revenue by Prod</vt:lpstr>
      <vt:lpstr>Pivot Table 3 — Revenue by Regi</vt:lpstr>
      <vt:lpstr>Pivot Table 4 — Top Salespeople</vt:lpstr>
      <vt:lpstr>Dashboard</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wale wale</cp:lastModifiedBy>
  <cp:lastPrinted>2026-02-22T05:16:07Z</cp:lastPrinted>
  <dcterms:created xsi:type="dcterms:W3CDTF">2026-02-19T13:09:37Z</dcterms:created>
  <dcterms:modified xsi:type="dcterms:W3CDTF">2026-02-24T22:20:46Z</dcterms:modified>
</cp:coreProperties>
</file>